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emeboulton/Desktop/Statistical Analysis Course/"/>
    </mc:Choice>
  </mc:AlternateContent>
  <xr:revisionPtr revIDLastSave="0" documentId="13_ncr:1_{8B01CD63-39A4-9343-A1C5-BDE9EECA370E}" xr6:coauthVersionLast="47" xr6:coauthVersionMax="47" xr10:uidLastSave="{00000000-0000-0000-0000-000000000000}"/>
  <bookViews>
    <workbookView xWindow="2580" yWindow="22360" windowWidth="34200" windowHeight="21380" xr2:uid="{00000000-000D-0000-FFFF-FFFF00000000}"/>
  </bookViews>
  <sheets>
    <sheet name="Standard normal" sheetId="3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3" l="1"/>
  <c r="Q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11" i="3"/>
  <c r="M13" i="3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12" i="3"/>
  <c r="M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11" i="3"/>
  <c r="E12" i="3"/>
  <c r="E11" i="3"/>
  <c r="K11" i="3" l="1"/>
  <c r="K12" i="3"/>
</calcChain>
</file>

<file path=xl/sharedStrings.xml><?xml version="1.0" encoding="utf-8"?>
<sst xmlns="http://schemas.openxmlformats.org/spreadsheetml/2006/main" count="16" uniqueCount="13">
  <si>
    <t>Standard normal distribution</t>
  </si>
  <si>
    <t>Background</t>
  </si>
  <si>
    <t>Task 1</t>
  </si>
  <si>
    <t>Task 2</t>
  </si>
  <si>
    <t>Standardize the dataset</t>
  </si>
  <si>
    <t>Calculate the mean and standard deviation of the dataset</t>
  </si>
  <si>
    <t>Task 3</t>
  </si>
  <si>
    <t>Plot the data on a graph to see the change</t>
  </si>
  <si>
    <t>You are given an approximately normally distributed dataset</t>
  </si>
  <si>
    <t>Original dataset</t>
  </si>
  <si>
    <t>Subtract mean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</si>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</sst>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2" fontId="1" fillId="2" borderId="0" xfId="0" applyNumberFormat="1" applyFont="1" applyFill="1"/>
    <xf numFmtId="2" fontId="1" fillId="2" borderId="2" xfId="0" applyNumberFormat="1" applyFont="1" applyFill="1" applyBorder="1"/>
    <xf numFmtId="2" fontId="2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90"/>
  <sheetViews>
    <sheetView tabSelected="1" zoomScale="160" zoomScaleNormal="160" workbookViewId="0">
      <selection activeCell="P18" sqref="P18"/>
    </sheetView>
  </sheetViews>
  <sheetFormatPr baseColWidth="10" defaultColWidth="8.83203125" defaultRowHeight="12" x14ac:dyDescent="0.15"/>
  <cols>
    <col min="1" max="1" width="2" style="1" customWidth="1"/>
    <col min="2" max="2" width="13.6640625" style="1" customWidth="1"/>
    <col min="3" max="3" width="8.83203125" style="1"/>
    <col min="4" max="4" width="14.5" style="1" bestFit="1" customWidth="1"/>
    <col min="5" max="5" width="8.83203125" style="1"/>
    <col min="6" max="6" width="4.83203125" style="1" bestFit="1" customWidth="1"/>
    <col min="7" max="7" width="4.83203125" style="1" customWidth="1"/>
    <col min="8" max="8" width="11.1640625" style="1" bestFit="1" customWidth="1"/>
    <col min="9" max="9" width="8.83203125" style="1"/>
    <col min="10" max="10" width="14.5" style="1" bestFit="1" customWidth="1"/>
    <col min="11" max="11" width="6.5" style="1" customWidth="1"/>
    <col min="12" max="15" width="8.83203125" style="1"/>
    <col min="16" max="16" width="14.5" style="1" bestFit="1" customWidth="1"/>
    <col min="17" max="18" width="11" style="1" bestFit="1" customWidth="1"/>
    <col min="19" max="16384" width="8.83203125" style="1"/>
  </cols>
  <sheetData>
    <row r="1" spans="2:21" ht="16" x14ac:dyDescent="0.2">
      <c r="B1" s="2" t="s">
        <v>0</v>
      </c>
    </row>
    <row r="3" spans="2:21" x14ac:dyDescent="0.15">
      <c r="B3" s="5" t="s">
        <v>1</v>
      </c>
      <c r="C3" s="1" t="s">
        <v>8</v>
      </c>
    </row>
    <row r="4" spans="2:21" x14ac:dyDescent="0.15">
      <c r="B4" s="5" t="s">
        <v>2</v>
      </c>
      <c r="C4" s="1" t="s">
        <v>5</v>
      </c>
    </row>
    <row r="5" spans="2:21" x14ac:dyDescent="0.15">
      <c r="B5" s="5" t="s">
        <v>3</v>
      </c>
      <c r="C5" s="1" t="s">
        <v>4</v>
      </c>
    </row>
    <row r="6" spans="2:21" x14ac:dyDescent="0.15">
      <c r="B6" s="5" t="s">
        <v>6</v>
      </c>
      <c r="C6" s="1" t="s">
        <v>7</v>
      </c>
    </row>
    <row r="7" spans="2:21" x14ac:dyDescent="0.15">
      <c r="B7" s="5"/>
    </row>
    <row r="8" spans="2:21" x14ac:dyDescent="0.15">
      <c r="B8" s="5"/>
    </row>
    <row r="10" spans="2:21" ht="13" thickBot="1" x14ac:dyDescent="0.2">
      <c r="B10" s="3" t="s">
        <v>9</v>
      </c>
      <c r="H10" s="1" t="s">
        <v>10</v>
      </c>
      <c r="K10" s="4"/>
      <c r="Q10" s="5"/>
      <c r="R10" s="4"/>
    </row>
    <row r="11" spans="2:21" x14ac:dyDescent="0.15">
      <c r="B11" s="6">
        <v>567.45000000000005</v>
      </c>
      <c r="D11" s="1" t="s">
        <v>11</v>
      </c>
      <c r="E11" s="6">
        <f>AVERAGE(B11:B90)</f>
        <v>743.02708333333317</v>
      </c>
      <c r="H11" s="6">
        <f>B11-743.03</f>
        <v>-175.57999999999993</v>
      </c>
      <c r="J11" s="9" t="s">
        <v>11</v>
      </c>
      <c r="K11" s="6">
        <f>AVERAGE(H11:H90)</f>
        <v>-2.916666666614276E-3</v>
      </c>
      <c r="M11" s="6">
        <f>K12</f>
        <v>73.953060547763357</v>
      </c>
      <c r="N11" s="6">
        <f>H11/M11</f>
        <v>-2.3742087034599435</v>
      </c>
      <c r="P11" s="1" t="s">
        <v>11</v>
      </c>
      <c r="Q11" s="6">
        <f>AVERAGE(N11:N90)</f>
        <v>-3.9439431512311438E-5</v>
      </c>
      <c r="R11" s="6"/>
    </row>
    <row r="12" spans="2:21" x14ac:dyDescent="0.15">
      <c r="B12" s="6">
        <v>572.45000000000005</v>
      </c>
      <c r="C12" s="4"/>
      <c r="D12" s="4" t="s">
        <v>12</v>
      </c>
      <c r="E12" s="8">
        <f>STDEV(B11:B90)</f>
        <v>73.953060547763371</v>
      </c>
      <c r="H12" s="6">
        <f t="shared" ref="H12:H75" si="0">B12-743.03</f>
        <v>-170.57999999999993</v>
      </c>
      <c r="K12" s="6">
        <f>STDEV(H11:H90)</f>
        <v>73.953060547763357</v>
      </c>
      <c r="M12" s="6">
        <f>M11</f>
        <v>73.953060547763357</v>
      </c>
      <c r="N12" s="6">
        <f t="shared" ref="N12:N75" si="1">H12/M12</f>
        <v>-2.3065982494372772</v>
      </c>
      <c r="O12" s="6"/>
      <c r="P12" s="10" t="s">
        <v>12</v>
      </c>
      <c r="Q12" s="6">
        <f>STDEV(N11:N90)</f>
        <v>0.99999999999999967</v>
      </c>
      <c r="R12" s="6"/>
      <c r="T12" s="4"/>
      <c r="U12" s="6"/>
    </row>
    <row r="13" spans="2:21" x14ac:dyDescent="0.15">
      <c r="B13" s="6">
        <v>572.45000000000005</v>
      </c>
      <c r="E13" s="4"/>
      <c r="F13" s="6"/>
      <c r="G13" s="6"/>
      <c r="H13" s="6">
        <f t="shared" si="0"/>
        <v>-170.57999999999993</v>
      </c>
      <c r="K13" s="6"/>
      <c r="M13" s="6">
        <f t="shared" ref="M13:M76" si="2">M12</f>
        <v>73.953060547763357</v>
      </c>
      <c r="N13" s="6">
        <f t="shared" si="1"/>
        <v>-2.3065982494372772</v>
      </c>
      <c r="O13" s="6"/>
      <c r="P13" s="6"/>
      <c r="R13" s="6"/>
      <c r="T13" s="4"/>
      <c r="U13" s="6"/>
    </row>
    <row r="14" spans="2:21" x14ac:dyDescent="0.15">
      <c r="B14" s="6">
        <v>589.11666666666679</v>
      </c>
      <c r="H14" s="6">
        <f t="shared" si="0"/>
        <v>-153.91333333333318</v>
      </c>
      <c r="K14" s="6"/>
      <c r="M14" s="6">
        <f t="shared" si="2"/>
        <v>73.953060547763357</v>
      </c>
      <c r="N14" s="6">
        <f t="shared" si="1"/>
        <v>-2.0812300693617223</v>
      </c>
      <c r="R14" s="6"/>
    </row>
    <row r="15" spans="2:21" x14ac:dyDescent="0.15">
      <c r="B15" s="6">
        <v>613.86666666666679</v>
      </c>
      <c r="C15" s="4"/>
      <c r="D15" s="4"/>
      <c r="H15" s="6">
        <f t="shared" si="0"/>
        <v>-129.16333333333318</v>
      </c>
      <c r="K15" s="6"/>
      <c r="L15" s="4"/>
      <c r="M15" s="6">
        <f t="shared" si="2"/>
        <v>73.953060547763357</v>
      </c>
      <c r="N15" s="6">
        <f t="shared" si="1"/>
        <v>-1.7465583219495249</v>
      </c>
      <c r="R15" s="6"/>
      <c r="S15" s="4"/>
    </row>
    <row r="16" spans="2:21" x14ac:dyDescent="0.15">
      <c r="B16" s="6">
        <v>615.7833333333333</v>
      </c>
      <c r="H16" s="6">
        <f t="shared" si="0"/>
        <v>-127.24666666666667</v>
      </c>
      <c r="K16" s="6"/>
      <c r="M16" s="6">
        <f t="shared" si="2"/>
        <v>73.953060547763357</v>
      </c>
      <c r="N16" s="6">
        <f t="shared" si="1"/>
        <v>-1.7206409812408383</v>
      </c>
      <c r="R16" s="6"/>
    </row>
    <row r="17" spans="2:18" x14ac:dyDescent="0.15">
      <c r="B17" s="6">
        <v>628.45000000000005</v>
      </c>
      <c r="H17" s="6">
        <f t="shared" si="0"/>
        <v>-114.57999999999993</v>
      </c>
      <c r="K17" s="6"/>
      <c r="M17" s="6">
        <f t="shared" si="2"/>
        <v>73.953060547763357</v>
      </c>
      <c r="N17" s="6">
        <f t="shared" si="1"/>
        <v>-1.5493611643834164</v>
      </c>
      <c r="R17" s="6"/>
    </row>
    <row r="18" spans="2:18" x14ac:dyDescent="0.15">
      <c r="B18" s="6">
        <v>644.86666666666679</v>
      </c>
      <c r="H18" s="6">
        <f t="shared" si="0"/>
        <v>-98.163333333333185</v>
      </c>
      <c r="K18" s="6"/>
      <c r="M18" s="6">
        <f t="shared" si="2"/>
        <v>73.953060547763357</v>
      </c>
      <c r="N18" s="6">
        <f t="shared" si="1"/>
        <v>-1.3273735070089949</v>
      </c>
      <c r="R18" s="6"/>
    </row>
    <row r="19" spans="2:18" x14ac:dyDescent="0.15">
      <c r="B19" s="6">
        <v>650.45000000000005</v>
      </c>
      <c r="H19" s="6">
        <f t="shared" si="0"/>
        <v>-92.579999999999927</v>
      </c>
      <c r="K19" s="6"/>
      <c r="M19" s="6">
        <f t="shared" si="2"/>
        <v>73.953060547763357</v>
      </c>
      <c r="N19" s="6">
        <f t="shared" si="1"/>
        <v>-1.2518751666836854</v>
      </c>
      <c r="R19" s="6"/>
    </row>
    <row r="20" spans="2:18" x14ac:dyDescent="0.15">
      <c r="B20" s="6">
        <v>652.20000000000005</v>
      </c>
      <c r="H20" s="6">
        <f t="shared" si="0"/>
        <v>-90.829999999999927</v>
      </c>
      <c r="K20" s="6"/>
      <c r="M20" s="6">
        <f t="shared" si="2"/>
        <v>73.953060547763357</v>
      </c>
      <c r="N20" s="6">
        <f t="shared" si="1"/>
        <v>-1.2282115077757523</v>
      </c>
      <c r="R20" s="6"/>
    </row>
    <row r="21" spans="2:18" x14ac:dyDescent="0.15">
      <c r="B21" s="6">
        <v>656.86666666666679</v>
      </c>
      <c r="H21" s="6">
        <f t="shared" si="0"/>
        <v>-86.163333333333185</v>
      </c>
      <c r="K21" s="6"/>
      <c r="M21" s="6">
        <f t="shared" si="2"/>
        <v>73.953060547763357</v>
      </c>
      <c r="N21" s="6">
        <f t="shared" si="1"/>
        <v>-1.165108417354596</v>
      </c>
      <c r="R21" s="6"/>
    </row>
    <row r="22" spans="2:18" x14ac:dyDescent="0.15">
      <c r="B22" s="6">
        <v>661.45</v>
      </c>
      <c r="H22" s="6">
        <f t="shared" si="0"/>
        <v>-81.579999999999927</v>
      </c>
      <c r="K22" s="6"/>
      <c r="M22" s="6">
        <f t="shared" si="2"/>
        <v>73.953060547763357</v>
      </c>
      <c r="N22" s="6">
        <f t="shared" si="1"/>
        <v>-1.1031321678338197</v>
      </c>
      <c r="R22" s="6"/>
    </row>
    <row r="23" spans="2:18" x14ac:dyDescent="0.15">
      <c r="B23" s="6">
        <v>666.45</v>
      </c>
      <c r="H23" s="6">
        <f t="shared" si="0"/>
        <v>-76.579999999999927</v>
      </c>
      <c r="K23" s="6"/>
      <c r="M23" s="6">
        <f t="shared" si="2"/>
        <v>73.953060547763357</v>
      </c>
      <c r="N23" s="6">
        <f t="shared" si="1"/>
        <v>-1.0355217138111537</v>
      </c>
      <c r="R23" s="6"/>
    </row>
    <row r="24" spans="2:18" x14ac:dyDescent="0.15">
      <c r="B24" s="6">
        <v>667.7</v>
      </c>
      <c r="H24" s="6">
        <f t="shared" si="0"/>
        <v>-75.329999999999927</v>
      </c>
      <c r="K24" s="6"/>
      <c r="M24" s="6">
        <f t="shared" si="2"/>
        <v>73.953060547763357</v>
      </c>
      <c r="N24" s="6">
        <f t="shared" si="1"/>
        <v>-1.0186191003054872</v>
      </c>
      <c r="R24" s="6"/>
    </row>
    <row r="25" spans="2:18" x14ac:dyDescent="0.15">
      <c r="B25" s="6">
        <v>668.95</v>
      </c>
      <c r="H25" s="6">
        <f t="shared" si="0"/>
        <v>-74.079999999999927</v>
      </c>
      <c r="K25" s="6"/>
      <c r="M25" s="6">
        <f t="shared" si="2"/>
        <v>73.953060547763357</v>
      </c>
      <c r="N25" s="6">
        <f t="shared" si="1"/>
        <v>-1.0017164867998205</v>
      </c>
      <c r="R25" s="6"/>
    </row>
    <row r="26" spans="2:18" x14ac:dyDescent="0.15">
      <c r="B26" s="6">
        <v>675.2833333333333</v>
      </c>
      <c r="H26" s="6">
        <f t="shared" si="0"/>
        <v>-67.74666666666667</v>
      </c>
      <c r="K26" s="6"/>
      <c r="M26" s="6">
        <f t="shared" si="2"/>
        <v>73.953060547763357</v>
      </c>
      <c r="N26" s="6">
        <f t="shared" si="1"/>
        <v>-0.91607657837111123</v>
      </c>
      <c r="R26" s="6"/>
    </row>
    <row r="27" spans="2:18" x14ac:dyDescent="0.15">
      <c r="B27" s="6">
        <v>675.7833333333333</v>
      </c>
      <c r="H27" s="6">
        <f t="shared" si="0"/>
        <v>-67.24666666666667</v>
      </c>
      <c r="K27" s="6"/>
      <c r="M27" s="6">
        <f t="shared" si="2"/>
        <v>73.953060547763357</v>
      </c>
      <c r="N27" s="6">
        <f t="shared" si="1"/>
        <v>-0.9093155329688446</v>
      </c>
      <c r="R27" s="6"/>
    </row>
    <row r="28" spans="2:18" x14ac:dyDescent="0.15">
      <c r="B28" s="6">
        <v>685.5333333333333</v>
      </c>
      <c r="H28" s="6">
        <f t="shared" si="0"/>
        <v>-57.49666666666667</v>
      </c>
      <c r="K28" s="6"/>
      <c r="M28" s="6">
        <f t="shared" si="2"/>
        <v>73.953060547763357</v>
      </c>
      <c r="N28" s="6">
        <f t="shared" si="1"/>
        <v>-0.77747514762464554</v>
      </c>
      <c r="R28" s="6"/>
    </row>
    <row r="29" spans="2:18" x14ac:dyDescent="0.15">
      <c r="B29" s="6">
        <v>694.2833333333333</v>
      </c>
      <c r="H29" s="6">
        <f t="shared" si="0"/>
        <v>-48.74666666666667</v>
      </c>
      <c r="K29" s="6"/>
      <c r="M29" s="6">
        <f t="shared" si="2"/>
        <v>73.953060547763357</v>
      </c>
      <c r="N29" s="6">
        <f t="shared" si="1"/>
        <v>-0.65915685308497984</v>
      </c>
      <c r="R29" s="6"/>
    </row>
    <row r="30" spans="2:18" x14ac:dyDescent="0.15">
      <c r="B30" s="6">
        <v>697.61666666666679</v>
      </c>
      <c r="H30" s="6">
        <f t="shared" si="0"/>
        <v>-45.413333333333185</v>
      </c>
      <c r="K30" s="6"/>
      <c r="M30" s="6">
        <f t="shared" si="2"/>
        <v>73.953060547763357</v>
      </c>
      <c r="N30" s="6">
        <f t="shared" si="1"/>
        <v>-0.61408321706986702</v>
      </c>
      <c r="R30" s="6"/>
    </row>
    <row r="31" spans="2:18" x14ac:dyDescent="0.15">
      <c r="B31" s="6">
        <v>705.7833333333333</v>
      </c>
      <c r="H31" s="6">
        <f t="shared" si="0"/>
        <v>-37.24666666666667</v>
      </c>
      <c r="K31" s="6"/>
      <c r="M31" s="6">
        <f t="shared" si="2"/>
        <v>73.953060547763357</v>
      </c>
      <c r="N31" s="6">
        <f t="shared" si="1"/>
        <v>-0.50365280883284769</v>
      </c>
      <c r="R31" s="6"/>
    </row>
    <row r="32" spans="2:18" x14ac:dyDescent="0.15">
      <c r="B32" s="6">
        <v>705.86666666666679</v>
      </c>
      <c r="H32" s="6">
        <f t="shared" si="0"/>
        <v>-37.163333333333185</v>
      </c>
      <c r="K32" s="6"/>
      <c r="M32" s="6">
        <f t="shared" si="2"/>
        <v>73.953060547763357</v>
      </c>
      <c r="N32" s="6">
        <f t="shared" si="1"/>
        <v>-0.50252596793246784</v>
      </c>
      <c r="R32" s="6"/>
    </row>
    <row r="33" spans="2:18" x14ac:dyDescent="0.15">
      <c r="B33" s="6">
        <v>708.11666666666679</v>
      </c>
      <c r="H33" s="6">
        <f t="shared" si="0"/>
        <v>-34.913333333333185</v>
      </c>
      <c r="K33" s="6"/>
      <c r="M33" s="6">
        <f t="shared" si="2"/>
        <v>73.953060547763357</v>
      </c>
      <c r="N33" s="6">
        <f t="shared" si="1"/>
        <v>-0.47210126362226812</v>
      </c>
      <c r="R33" s="6"/>
    </row>
    <row r="34" spans="2:18" x14ac:dyDescent="0.15">
      <c r="B34" s="6">
        <v>711.0333333333333</v>
      </c>
      <c r="H34" s="6">
        <f t="shared" si="0"/>
        <v>-31.99666666666667</v>
      </c>
      <c r="K34" s="6"/>
      <c r="M34" s="6">
        <f t="shared" si="2"/>
        <v>73.953060547763357</v>
      </c>
      <c r="N34" s="6">
        <f t="shared" si="1"/>
        <v>-0.43266183210904824</v>
      </c>
      <c r="R34" s="6"/>
    </row>
    <row r="35" spans="2:18" x14ac:dyDescent="0.15">
      <c r="B35" s="6">
        <v>714.0333333333333</v>
      </c>
      <c r="H35" s="6">
        <f t="shared" si="0"/>
        <v>-28.99666666666667</v>
      </c>
      <c r="K35" s="6"/>
      <c r="M35" s="6">
        <f t="shared" si="2"/>
        <v>73.953060547763357</v>
      </c>
      <c r="N35" s="6">
        <f t="shared" si="1"/>
        <v>-0.39209555969544857</v>
      </c>
      <c r="R35" s="6"/>
    </row>
    <row r="36" spans="2:18" x14ac:dyDescent="0.15">
      <c r="B36" s="6">
        <v>716.0333333333333</v>
      </c>
      <c r="H36" s="6">
        <f t="shared" si="0"/>
        <v>-26.99666666666667</v>
      </c>
      <c r="K36" s="6"/>
      <c r="M36" s="6">
        <f t="shared" si="2"/>
        <v>73.953060547763357</v>
      </c>
      <c r="N36" s="6">
        <f t="shared" si="1"/>
        <v>-0.36505137808638211</v>
      </c>
      <c r="R36" s="6"/>
    </row>
    <row r="37" spans="2:18" x14ac:dyDescent="0.15">
      <c r="B37" s="6">
        <v>722.2833333333333</v>
      </c>
      <c r="H37" s="6">
        <f t="shared" si="0"/>
        <v>-20.74666666666667</v>
      </c>
      <c r="K37" s="6"/>
      <c r="M37" s="6">
        <f t="shared" si="2"/>
        <v>73.953060547763357</v>
      </c>
      <c r="N37" s="6">
        <f t="shared" si="1"/>
        <v>-0.28053831055804945</v>
      </c>
      <c r="R37" s="6"/>
    </row>
    <row r="38" spans="2:18" x14ac:dyDescent="0.15">
      <c r="B38" s="6">
        <v>728.11666666666679</v>
      </c>
      <c r="H38" s="6">
        <f t="shared" si="0"/>
        <v>-14.913333333333185</v>
      </c>
      <c r="K38" s="6"/>
      <c r="M38" s="6">
        <f t="shared" si="2"/>
        <v>73.953060547763357</v>
      </c>
      <c r="N38" s="6">
        <f t="shared" si="1"/>
        <v>-0.20165944753160353</v>
      </c>
      <c r="R38" s="6"/>
    </row>
    <row r="39" spans="2:18" x14ac:dyDescent="0.15">
      <c r="B39" s="6">
        <v>728.7</v>
      </c>
      <c r="H39" s="6">
        <f t="shared" si="0"/>
        <v>-14.329999999999927</v>
      </c>
      <c r="K39" s="6"/>
      <c r="M39" s="6">
        <f t="shared" si="2"/>
        <v>73.953060547763357</v>
      </c>
      <c r="N39" s="6">
        <f t="shared" si="1"/>
        <v>-0.19377156122896019</v>
      </c>
      <c r="R39" s="6"/>
    </row>
    <row r="40" spans="2:18" x14ac:dyDescent="0.15">
      <c r="B40" s="6">
        <v>729.0333333333333</v>
      </c>
      <c r="H40" s="6">
        <f t="shared" si="0"/>
        <v>-13.99666666666667</v>
      </c>
      <c r="K40" s="6"/>
      <c r="M40" s="6">
        <f t="shared" si="2"/>
        <v>73.953060547763357</v>
      </c>
      <c r="N40" s="6">
        <f t="shared" si="1"/>
        <v>-0.18926419762745014</v>
      </c>
      <c r="R40" s="6"/>
    </row>
    <row r="41" spans="2:18" x14ac:dyDescent="0.15">
      <c r="B41" s="6">
        <v>730.11666666666679</v>
      </c>
      <c r="H41" s="6">
        <f t="shared" si="0"/>
        <v>-12.913333333333185</v>
      </c>
      <c r="K41" s="6"/>
      <c r="M41" s="6">
        <f t="shared" si="2"/>
        <v>73.953060547763357</v>
      </c>
      <c r="N41" s="6">
        <f t="shared" si="1"/>
        <v>-0.17461526592253709</v>
      </c>
      <c r="R41" s="6"/>
    </row>
    <row r="42" spans="2:18" x14ac:dyDescent="0.15">
      <c r="B42" s="6">
        <v>731.95</v>
      </c>
      <c r="H42" s="6">
        <f t="shared" si="0"/>
        <v>-11.079999999999927</v>
      </c>
      <c r="K42" s="6"/>
      <c r="M42" s="6">
        <f t="shared" si="2"/>
        <v>73.953060547763357</v>
      </c>
      <c r="N42" s="6">
        <f t="shared" si="1"/>
        <v>-0.14982476611422718</v>
      </c>
      <c r="R42" s="6"/>
    </row>
    <row r="43" spans="2:18" x14ac:dyDescent="0.15">
      <c r="B43" s="6">
        <v>735.0333333333333</v>
      </c>
      <c r="H43" s="6">
        <f t="shared" si="0"/>
        <v>-7.9966666666666697</v>
      </c>
      <c r="K43" s="6"/>
      <c r="M43" s="6">
        <f t="shared" si="2"/>
        <v>73.953060547763357</v>
      </c>
      <c r="N43" s="6">
        <f t="shared" si="1"/>
        <v>-0.10813165280025076</v>
      </c>
      <c r="R43" s="6"/>
    </row>
    <row r="44" spans="2:18" x14ac:dyDescent="0.15">
      <c r="B44" s="6">
        <v>736.95</v>
      </c>
      <c r="H44" s="6">
        <f t="shared" si="0"/>
        <v>-6.0799999999999272</v>
      </c>
      <c r="K44" s="6"/>
      <c r="M44" s="6">
        <f t="shared" si="2"/>
        <v>73.953060547763357</v>
      </c>
      <c r="N44" s="6">
        <f t="shared" si="1"/>
        <v>-8.2214312091561048E-2</v>
      </c>
      <c r="R44" s="6"/>
    </row>
    <row r="45" spans="2:18" x14ac:dyDescent="0.15">
      <c r="B45" s="6">
        <v>737.36666666666679</v>
      </c>
      <c r="H45" s="6">
        <f t="shared" si="0"/>
        <v>-5.6633333333331848</v>
      </c>
      <c r="K45" s="6"/>
      <c r="M45" s="6">
        <f t="shared" si="2"/>
        <v>73.953060547763357</v>
      </c>
      <c r="N45" s="6">
        <f t="shared" si="1"/>
        <v>-7.6580107589671181E-2</v>
      </c>
      <c r="R45" s="6"/>
    </row>
    <row r="46" spans="2:18" x14ac:dyDescent="0.15">
      <c r="B46" s="6">
        <v>738.2833333333333</v>
      </c>
      <c r="H46" s="6">
        <f t="shared" si="0"/>
        <v>-4.7466666666666697</v>
      </c>
      <c r="K46" s="6"/>
      <c r="M46" s="6">
        <f t="shared" si="2"/>
        <v>73.953060547763357</v>
      </c>
      <c r="N46" s="6">
        <f t="shared" si="1"/>
        <v>-6.4184857685517765E-2</v>
      </c>
      <c r="R46" s="6"/>
    </row>
    <row r="47" spans="2:18" x14ac:dyDescent="0.15">
      <c r="B47" s="6">
        <v>739.7833333333333</v>
      </c>
      <c r="H47" s="6">
        <f t="shared" si="0"/>
        <v>-3.2466666666666697</v>
      </c>
      <c r="K47" s="6"/>
      <c r="M47" s="6">
        <f t="shared" si="2"/>
        <v>73.953060547763357</v>
      </c>
      <c r="N47" s="6">
        <f t="shared" si="1"/>
        <v>-4.3901721478717924E-2</v>
      </c>
      <c r="R47" s="6"/>
    </row>
    <row r="48" spans="2:18" x14ac:dyDescent="0.15">
      <c r="B48" s="6">
        <v>740.61666666666679</v>
      </c>
      <c r="H48" s="6">
        <f t="shared" si="0"/>
        <v>-2.4133333333331848</v>
      </c>
      <c r="K48" s="6"/>
      <c r="M48" s="6">
        <f t="shared" si="2"/>
        <v>73.953060547763357</v>
      </c>
      <c r="N48" s="6">
        <f t="shared" si="1"/>
        <v>-3.2633312474938184E-2</v>
      </c>
      <c r="R48" s="6"/>
    </row>
    <row r="49" spans="2:18" x14ac:dyDescent="0.15">
      <c r="B49" s="6">
        <v>743.61666666666679</v>
      </c>
      <c r="H49" s="6">
        <f t="shared" si="0"/>
        <v>0.58666666666681522</v>
      </c>
      <c r="K49" s="6"/>
      <c r="M49" s="6">
        <f t="shared" si="2"/>
        <v>73.953060547763357</v>
      </c>
      <c r="N49" s="6">
        <f t="shared" si="1"/>
        <v>7.9329599386615025E-3</v>
      </c>
      <c r="R49" s="6"/>
    </row>
    <row r="50" spans="2:18" x14ac:dyDescent="0.15">
      <c r="B50" s="6">
        <v>747.2</v>
      </c>
      <c r="H50" s="6">
        <f t="shared" si="0"/>
        <v>4.1700000000000728</v>
      </c>
      <c r="K50" s="6"/>
      <c r="M50" s="6">
        <f t="shared" si="2"/>
        <v>73.953060547763357</v>
      </c>
      <c r="N50" s="6">
        <f t="shared" si="1"/>
        <v>5.6387118654904547E-2</v>
      </c>
      <c r="R50" s="6"/>
    </row>
    <row r="51" spans="2:18" x14ac:dyDescent="0.15">
      <c r="B51" s="6">
        <v>748.2</v>
      </c>
      <c r="H51" s="6">
        <f t="shared" si="0"/>
        <v>5.1700000000000728</v>
      </c>
      <c r="K51" s="6"/>
      <c r="M51" s="6">
        <f t="shared" si="2"/>
        <v>73.953060547763357</v>
      </c>
      <c r="N51" s="6">
        <f t="shared" si="1"/>
        <v>6.9909209459437779E-2</v>
      </c>
      <c r="R51" s="6"/>
    </row>
    <row r="52" spans="2:18" x14ac:dyDescent="0.15">
      <c r="B52" s="6">
        <v>748.2833333333333</v>
      </c>
      <c r="H52" s="6">
        <f t="shared" si="0"/>
        <v>5.2533333333333303</v>
      </c>
      <c r="K52" s="6"/>
      <c r="M52" s="6">
        <f t="shared" si="2"/>
        <v>73.953060547763357</v>
      </c>
      <c r="N52" s="6">
        <f t="shared" si="1"/>
        <v>7.1036050359814515E-2</v>
      </c>
      <c r="R52" s="6"/>
    </row>
    <row r="53" spans="2:18" x14ac:dyDescent="0.15">
      <c r="B53" s="6">
        <v>748.5333333333333</v>
      </c>
      <c r="H53" s="6">
        <f t="shared" si="0"/>
        <v>5.5033333333333303</v>
      </c>
      <c r="K53" s="6"/>
      <c r="M53" s="6">
        <f t="shared" si="2"/>
        <v>73.953060547763357</v>
      </c>
      <c r="N53" s="6">
        <f t="shared" si="1"/>
        <v>7.441657306094783E-2</v>
      </c>
      <c r="R53" s="6"/>
    </row>
    <row r="54" spans="2:18" x14ac:dyDescent="0.15">
      <c r="B54" s="6">
        <v>750.0333333333333</v>
      </c>
      <c r="H54" s="6">
        <f t="shared" si="0"/>
        <v>7.0033333333333303</v>
      </c>
      <c r="K54" s="6"/>
      <c r="M54" s="6">
        <f t="shared" si="2"/>
        <v>73.953060547763357</v>
      </c>
      <c r="N54" s="6">
        <f t="shared" si="1"/>
        <v>9.4699709267747678E-2</v>
      </c>
      <c r="R54" s="6"/>
    </row>
    <row r="55" spans="2:18" x14ac:dyDescent="0.15">
      <c r="B55" s="6">
        <v>752.11666666666679</v>
      </c>
      <c r="H55" s="6">
        <f t="shared" si="0"/>
        <v>9.0866666666668152</v>
      </c>
      <c r="K55" s="6"/>
      <c r="M55" s="6">
        <f t="shared" si="2"/>
        <v>73.953060547763357</v>
      </c>
      <c r="N55" s="6">
        <f t="shared" si="1"/>
        <v>0.12287073177719395</v>
      </c>
      <c r="R55" s="6"/>
    </row>
    <row r="56" spans="2:18" x14ac:dyDescent="0.15">
      <c r="B56" s="6">
        <v>754.7</v>
      </c>
      <c r="H56" s="6">
        <f t="shared" si="0"/>
        <v>11.670000000000073</v>
      </c>
      <c r="K56" s="6"/>
      <c r="M56" s="6">
        <f t="shared" si="2"/>
        <v>73.953060547763357</v>
      </c>
      <c r="N56" s="6">
        <f t="shared" si="1"/>
        <v>0.15780279968890376</v>
      </c>
      <c r="R56" s="6"/>
    </row>
    <row r="57" spans="2:18" x14ac:dyDescent="0.15">
      <c r="B57" s="6">
        <v>755.0333333333333</v>
      </c>
      <c r="H57" s="6">
        <f t="shared" si="0"/>
        <v>12.00333333333333</v>
      </c>
      <c r="K57" s="6"/>
      <c r="M57" s="6">
        <f t="shared" si="2"/>
        <v>73.953060547763357</v>
      </c>
      <c r="N57" s="6">
        <f t="shared" si="1"/>
        <v>0.16231016329041381</v>
      </c>
      <c r="R57" s="6"/>
    </row>
    <row r="58" spans="2:18" x14ac:dyDescent="0.15">
      <c r="B58" s="6">
        <v>758.36666666666667</v>
      </c>
      <c r="H58" s="6">
        <f t="shared" si="0"/>
        <v>15.336666666666702</v>
      </c>
      <c r="K58" s="6"/>
      <c r="M58" s="6">
        <f t="shared" si="2"/>
        <v>73.953060547763357</v>
      </c>
      <c r="N58" s="6">
        <f t="shared" si="1"/>
        <v>0.20738379930552509</v>
      </c>
      <c r="R58" s="6"/>
    </row>
    <row r="59" spans="2:18" x14ac:dyDescent="0.15">
      <c r="B59" s="6">
        <v>760.53333333333342</v>
      </c>
      <c r="H59" s="6">
        <f t="shared" si="0"/>
        <v>17.503333333333444</v>
      </c>
      <c r="K59" s="6"/>
      <c r="M59" s="6">
        <f t="shared" si="2"/>
        <v>73.953060547763357</v>
      </c>
      <c r="N59" s="6">
        <f t="shared" si="1"/>
        <v>0.2366816627153481</v>
      </c>
      <c r="R59" s="6"/>
    </row>
    <row r="60" spans="2:18" x14ac:dyDescent="0.15">
      <c r="B60" s="6">
        <v>764.03333333333342</v>
      </c>
      <c r="H60" s="6">
        <f t="shared" si="0"/>
        <v>21.003333333333444</v>
      </c>
      <c r="K60" s="6"/>
      <c r="M60" s="6">
        <f t="shared" si="2"/>
        <v>73.953060547763357</v>
      </c>
      <c r="N60" s="6">
        <f t="shared" si="1"/>
        <v>0.28400898053121443</v>
      </c>
      <c r="R60" s="6"/>
    </row>
    <row r="61" spans="2:18" x14ac:dyDescent="0.15">
      <c r="B61" s="6">
        <v>769.28333333333342</v>
      </c>
      <c r="H61" s="6">
        <f t="shared" si="0"/>
        <v>26.253333333333444</v>
      </c>
      <c r="K61" s="6"/>
      <c r="M61" s="6">
        <f t="shared" si="2"/>
        <v>73.953060547763357</v>
      </c>
      <c r="N61" s="6">
        <f t="shared" si="1"/>
        <v>0.35499995725501388</v>
      </c>
      <c r="R61" s="6"/>
    </row>
    <row r="62" spans="2:18" x14ac:dyDescent="0.15">
      <c r="B62" s="6">
        <v>775.45</v>
      </c>
      <c r="H62" s="6">
        <f t="shared" si="0"/>
        <v>32.420000000000073</v>
      </c>
      <c r="K62" s="6"/>
      <c r="M62" s="6">
        <f t="shared" si="2"/>
        <v>73.953060547763357</v>
      </c>
      <c r="N62" s="6">
        <f t="shared" si="1"/>
        <v>0.43838618388296824</v>
      </c>
      <c r="R62" s="6"/>
    </row>
    <row r="63" spans="2:18" x14ac:dyDescent="0.15">
      <c r="B63" s="6">
        <v>781.2</v>
      </c>
      <c r="H63" s="6">
        <f t="shared" si="0"/>
        <v>38.170000000000073</v>
      </c>
      <c r="K63" s="6"/>
      <c r="M63" s="6">
        <f t="shared" si="2"/>
        <v>73.953060547763357</v>
      </c>
      <c r="N63" s="6">
        <f t="shared" si="1"/>
        <v>0.51613820600903437</v>
      </c>
      <c r="R63" s="6"/>
    </row>
    <row r="64" spans="2:18" x14ac:dyDescent="0.15">
      <c r="B64" s="6">
        <v>781.7</v>
      </c>
      <c r="H64" s="6">
        <f t="shared" si="0"/>
        <v>38.670000000000073</v>
      </c>
      <c r="K64" s="6"/>
      <c r="M64" s="6">
        <f t="shared" si="2"/>
        <v>73.953060547763357</v>
      </c>
      <c r="N64" s="6">
        <f t="shared" si="1"/>
        <v>0.52289925141130089</v>
      </c>
      <c r="R64" s="6"/>
    </row>
    <row r="65" spans="2:18" x14ac:dyDescent="0.15">
      <c r="B65" s="6">
        <v>785.61666666666667</v>
      </c>
      <c r="H65" s="6">
        <f t="shared" si="0"/>
        <v>42.586666666666702</v>
      </c>
      <c r="K65" s="6"/>
      <c r="M65" s="6">
        <f t="shared" si="2"/>
        <v>73.953060547763357</v>
      </c>
      <c r="N65" s="6">
        <f t="shared" si="1"/>
        <v>0.57586077372905553</v>
      </c>
      <c r="R65" s="6"/>
    </row>
    <row r="66" spans="2:18" x14ac:dyDescent="0.15">
      <c r="B66" s="6">
        <v>792.78333333333342</v>
      </c>
      <c r="H66" s="6">
        <f t="shared" si="0"/>
        <v>49.753333333333444</v>
      </c>
      <c r="K66" s="6"/>
      <c r="M66" s="6">
        <f t="shared" si="2"/>
        <v>73.953060547763357</v>
      </c>
      <c r="N66" s="6">
        <f t="shared" si="1"/>
        <v>0.67276909116154471</v>
      </c>
      <c r="R66" s="6"/>
    </row>
    <row r="67" spans="2:18" x14ac:dyDescent="0.15">
      <c r="B67" s="6">
        <v>793.36666666666667</v>
      </c>
      <c r="H67" s="6">
        <f t="shared" si="0"/>
        <v>50.336666666666702</v>
      </c>
      <c r="K67" s="6"/>
      <c r="M67" s="6">
        <f t="shared" si="2"/>
        <v>73.953060547763357</v>
      </c>
      <c r="N67" s="6">
        <f t="shared" si="1"/>
        <v>0.68065697746418807</v>
      </c>
      <c r="R67" s="6"/>
    </row>
    <row r="68" spans="2:18" x14ac:dyDescent="0.15">
      <c r="B68" s="6">
        <v>795.28333333333342</v>
      </c>
      <c r="H68" s="6">
        <f t="shared" si="0"/>
        <v>52.253333333333444</v>
      </c>
      <c r="K68" s="6"/>
      <c r="M68" s="6">
        <f t="shared" si="2"/>
        <v>73.953060547763357</v>
      </c>
      <c r="N68" s="6">
        <f t="shared" si="1"/>
        <v>0.70657431817287786</v>
      </c>
      <c r="R68" s="6"/>
    </row>
    <row r="69" spans="2:18" x14ac:dyDescent="0.15">
      <c r="B69" s="6">
        <v>797.61666666666667</v>
      </c>
      <c r="H69" s="6">
        <f t="shared" si="0"/>
        <v>54.586666666666702</v>
      </c>
      <c r="K69" s="6"/>
      <c r="M69" s="6">
        <f t="shared" si="2"/>
        <v>73.953060547763357</v>
      </c>
      <c r="N69" s="6">
        <f t="shared" si="1"/>
        <v>0.73812586338345432</v>
      </c>
      <c r="R69" s="6"/>
    </row>
    <row r="70" spans="2:18" x14ac:dyDescent="0.15">
      <c r="B70" s="6">
        <v>798.95</v>
      </c>
      <c r="H70" s="6">
        <f t="shared" si="0"/>
        <v>55.920000000000073</v>
      </c>
      <c r="K70" s="6"/>
      <c r="M70" s="6">
        <f t="shared" si="2"/>
        <v>73.953060547763357</v>
      </c>
      <c r="N70" s="6">
        <f t="shared" si="1"/>
        <v>0.75615531778949918</v>
      </c>
      <c r="R70" s="6"/>
    </row>
    <row r="71" spans="2:18" x14ac:dyDescent="0.15">
      <c r="B71" s="6">
        <v>799.7</v>
      </c>
      <c r="H71" s="6">
        <f t="shared" si="0"/>
        <v>56.670000000000073</v>
      </c>
      <c r="K71" s="6"/>
      <c r="M71" s="6">
        <f t="shared" si="2"/>
        <v>73.953060547763357</v>
      </c>
      <c r="N71" s="6">
        <f t="shared" si="1"/>
        <v>0.76629688589289902</v>
      </c>
      <c r="R71" s="6"/>
    </row>
    <row r="72" spans="2:18" x14ac:dyDescent="0.15">
      <c r="B72" s="6">
        <v>799.95</v>
      </c>
      <c r="H72" s="6">
        <f t="shared" si="0"/>
        <v>56.920000000000073</v>
      </c>
      <c r="K72" s="6"/>
      <c r="M72" s="6">
        <f t="shared" si="2"/>
        <v>73.953060547763357</v>
      </c>
      <c r="N72" s="6">
        <f t="shared" si="1"/>
        <v>0.76967740859403233</v>
      </c>
      <c r="R72" s="6"/>
    </row>
    <row r="73" spans="2:18" x14ac:dyDescent="0.15">
      <c r="B73" s="6">
        <v>810.86666666666667</v>
      </c>
      <c r="H73" s="6">
        <f t="shared" si="0"/>
        <v>67.836666666666702</v>
      </c>
      <c r="K73" s="6"/>
      <c r="M73" s="6">
        <f t="shared" si="2"/>
        <v>73.953060547763357</v>
      </c>
      <c r="N73" s="6">
        <f t="shared" si="1"/>
        <v>0.91729356654351957</v>
      </c>
      <c r="R73" s="6"/>
    </row>
    <row r="74" spans="2:18" x14ac:dyDescent="0.15">
      <c r="B74" s="6">
        <v>811.53333333333342</v>
      </c>
      <c r="H74" s="6">
        <f t="shared" si="0"/>
        <v>68.503333333333444</v>
      </c>
      <c r="K74" s="6"/>
      <c r="M74" s="6">
        <f t="shared" si="2"/>
        <v>73.953060547763357</v>
      </c>
      <c r="N74" s="6">
        <f t="shared" si="1"/>
        <v>0.92630829374654278</v>
      </c>
      <c r="R74" s="6"/>
    </row>
    <row r="75" spans="2:18" x14ac:dyDescent="0.15">
      <c r="B75" s="6">
        <v>813.61666666666667</v>
      </c>
      <c r="H75" s="6">
        <f t="shared" si="0"/>
        <v>70.586666666666702</v>
      </c>
      <c r="K75" s="6"/>
      <c r="M75" s="6">
        <f t="shared" si="2"/>
        <v>73.953060547763357</v>
      </c>
      <c r="N75" s="6">
        <f t="shared" si="1"/>
        <v>0.95447931625598603</v>
      </c>
      <c r="R75" s="6"/>
    </row>
    <row r="76" spans="2:18" x14ac:dyDescent="0.15">
      <c r="B76" s="6">
        <v>814.03333333333342</v>
      </c>
      <c r="H76" s="6">
        <f t="shared" ref="H76:H90" si="3">B76-743.03</f>
        <v>71.003333333333444</v>
      </c>
      <c r="K76" s="6"/>
      <c r="M76" s="6">
        <f t="shared" si="2"/>
        <v>73.953060547763357</v>
      </c>
      <c r="N76" s="6">
        <f t="shared" ref="N76:N90" si="4">H76/M76</f>
        <v>0.96011352075787582</v>
      </c>
      <c r="R76" s="6"/>
    </row>
    <row r="77" spans="2:18" x14ac:dyDescent="0.15">
      <c r="B77" s="6">
        <v>814.78333333333342</v>
      </c>
      <c r="H77" s="6">
        <f t="shared" si="3"/>
        <v>71.753333333333444</v>
      </c>
      <c r="K77" s="6"/>
      <c r="M77" s="6">
        <f t="shared" ref="M77:M90" si="5">M76</f>
        <v>73.953060547763357</v>
      </c>
      <c r="N77" s="6">
        <f t="shared" si="4"/>
        <v>0.97025508886127576</v>
      </c>
      <c r="R77" s="6"/>
    </row>
    <row r="78" spans="2:18" x14ac:dyDescent="0.15">
      <c r="B78" s="6">
        <v>817.86666666666667</v>
      </c>
      <c r="H78" s="6">
        <f t="shared" si="3"/>
        <v>74.836666666666702</v>
      </c>
      <c r="K78" s="6"/>
      <c r="M78" s="6">
        <f t="shared" si="5"/>
        <v>73.953060547763357</v>
      </c>
      <c r="N78" s="6">
        <f t="shared" si="4"/>
        <v>1.0119482021752522</v>
      </c>
      <c r="R78" s="6"/>
    </row>
    <row r="79" spans="2:18" x14ac:dyDescent="0.15">
      <c r="B79" s="6">
        <v>818.86666666666667</v>
      </c>
      <c r="H79" s="6">
        <f t="shared" si="3"/>
        <v>75.836666666666702</v>
      </c>
      <c r="K79" s="6"/>
      <c r="M79" s="6">
        <f t="shared" si="5"/>
        <v>73.953060547763357</v>
      </c>
      <c r="N79" s="6">
        <f t="shared" si="4"/>
        <v>1.0254702929797854</v>
      </c>
      <c r="R79" s="6"/>
    </row>
    <row r="80" spans="2:18" x14ac:dyDescent="0.15">
      <c r="B80" s="6">
        <v>820.7</v>
      </c>
      <c r="H80" s="6">
        <f t="shared" si="3"/>
        <v>77.670000000000073</v>
      </c>
      <c r="K80" s="6"/>
      <c r="M80" s="6">
        <f t="shared" si="5"/>
        <v>73.953060547763357</v>
      </c>
      <c r="N80" s="6">
        <f t="shared" si="4"/>
        <v>1.0502607927880969</v>
      </c>
      <c r="R80" s="6"/>
    </row>
    <row r="81" spans="2:18" x14ac:dyDescent="0.15">
      <c r="B81" s="6">
        <v>821.11666666666667</v>
      </c>
      <c r="H81" s="6">
        <f t="shared" si="3"/>
        <v>78.086666666666702</v>
      </c>
      <c r="K81" s="6"/>
      <c r="M81" s="6">
        <f t="shared" si="5"/>
        <v>73.953060547763357</v>
      </c>
      <c r="N81" s="6">
        <f t="shared" si="4"/>
        <v>1.0558949972899851</v>
      </c>
      <c r="R81" s="6"/>
    </row>
    <row r="82" spans="2:18" x14ac:dyDescent="0.15">
      <c r="B82" s="6">
        <v>825.61666666666667</v>
      </c>
      <c r="H82" s="6">
        <f t="shared" si="3"/>
        <v>82.586666666666702</v>
      </c>
      <c r="K82" s="6"/>
      <c r="M82" s="6">
        <f t="shared" si="5"/>
        <v>73.953060547763357</v>
      </c>
      <c r="N82" s="6">
        <f t="shared" si="4"/>
        <v>1.1167444059103848</v>
      </c>
      <c r="R82" s="6"/>
    </row>
    <row r="83" spans="2:18" x14ac:dyDescent="0.15">
      <c r="B83" s="6">
        <v>828.61666666666667</v>
      </c>
      <c r="H83" s="6">
        <f t="shared" si="3"/>
        <v>85.586666666666702</v>
      </c>
      <c r="K83" s="6"/>
      <c r="M83" s="6">
        <f t="shared" si="5"/>
        <v>73.953060547763357</v>
      </c>
      <c r="N83" s="6">
        <f t="shared" si="4"/>
        <v>1.1573106783239844</v>
      </c>
      <c r="R83" s="6"/>
    </row>
    <row r="84" spans="2:18" x14ac:dyDescent="0.15">
      <c r="B84" s="6">
        <v>841.45</v>
      </c>
      <c r="H84" s="6">
        <f t="shared" si="3"/>
        <v>98.420000000000073</v>
      </c>
      <c r="K84" s="6"/>
      <c r="M84" s="6">
        <f t="shared" si="5"/>
        <v>73.953060547763357</v>
      </c>
      <c r="N84" s="6">
        <f t="shared" si="4"/>
        <v>1.3308441769821613</v>
      </c>
      <c r="R84" s="6"/>
    </row>
    <row r="85" spans="2:18" x14ac:dyDescent="0.15">
      <c r="B85" s="6">
        <v>842.03333333333342</v>
      </c>
      <c r="H85" s="6">
        <f t="shared" si="3"/>
        <v>99.003333333333444</v>
      </c>
      <c r="K85" s="6"/>
      <c r="M85" s="6">
        <f t="shared" si="5"/>
        <v>73.953060547763357</v>
      </c>
      <c r="N85" s="6">
        <f t="shared" si="4"/>
        <v>1.3387320632848063</v>
      </c>
      <c r="R85" s="6"/>
    </row>
    <row r="86" spans="2:18" x14ac:dyDescent="0.15">
      <c r="B86" s="6">
        <v>842.86666666666667</v>
      </c>
      <c r="H86" s="6">
        <f t="shared" si="3"/>
        <v>99.836666666666702</v>
      </c>
      <c r="K86" s="6"/>
      <c r="M86" s="6">
        <f t="shared" si="5"/>
        <v>73.953060547763357</v>
      </c>
      <c r="N86" s="6">
        <f t="shared" si="4"/>
        <v>1.350000472288583</v>
      </c>
      <c r="R86" s="6"/>
    </row>
    <row r="87" spans="2:18" x14ac:dyDescent="0.15">
      <c r="B87" s="6">
        <v>849.61666666666667</v>
      </c>
      <c r="H87" s="6">
        <f t="shared" si="3"/>
        <v>106.5866666666667</v>
      </c>
      <c r="K87" s="6"/>
      <c r="M87" s="6">
        <f t="shared" si="5"/>
        <v>73.953060547763357</v>
      </c>
      <c r="N87" s="6">
        <f t="shared" si="4"/>
        <v>1.4412745852191822</v>
      </c>
      <c r="R87" s="6"/>
    </row>
    <row r="88" spans="2:18" x14ac:dyDescent="0.15">
      <c r="B88" s="6">
        <v>874.7</v>
      </c>
      <c r="H88" s="6">
        <f t="shared" si="3"/>
        <v>131.67000000000007</v>
      </c>
      <c r="K88" s="6"/>
      <c r="M88" s="6">
        <f t="shared" si="5"/>
        <v>73.953060547763357</v>
      </c>
      <c r="N88" s="6">
        <f t="shared" si="4"/>
        <v>1.7804536962328912</v>
      </c>
      <c r="R88" s="6"/>
    </row>
    <row r="89" spans="2:18" x14ac:dyDescent="0.15">
      <c r="B89" s="6">
        <v>878.78333333333342</v>
      </c>
      <c r="H89" s="6">
        <f t="shared" si="3"/>
        <v>135.75333333333344</v>
      </c>
      <c r="K89" s="6"/>
      <c r="M89" s="6">
        <f t="shared" si="5"/>
        <v>73.953060547763357</v>
      </c>
      <c r="N89" s="6">
        <f t="shared" si="4"/>
        <v>1.8356689003514024</v>
      </c>
      <c r="R89" s="6"/>
    </row>
    <row r="90" spans="2:18" x14ac:dyDescent="0.15">
      <c r="B90" s="7">
        <v>897.45</v>
      </c>
      <c r="H90" s="6">
        <f t="shared" si="3"/>
        <v>154.42000000000007</v>
      </c>
      <c r="K90" s="6"/>
      <c r="M90" s="6">
        <f t="shared" si="5"/>
        <v>73.953060547763357</v>
      </c>
      <c r="N90" s="6">
        <f t="shared" si="4"/>
        <v>2.0880812620360221</v>
      </c>
      <c r="R9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Graeme Boulton</cp:lastModifiedBy>
  <dcterms:created xsi:type="dcterms:W3CDTF">2017-05-03T15:18:51Z</dcterms:created>
  <dcterms:modified xsi:type="dcterms:W3CDTF">2025-11-25T12:11:14Z</dcterms:modified>
</cp:coreProperties>
</file>