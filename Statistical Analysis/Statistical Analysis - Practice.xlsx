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graemeboulton/Desktop/"/>
    </mc:Choice>
  </mc:AlternateContent>
  <xr:revisionPtr revIDLastSave="0" documentId="8_{888F1F93-A7BD-7946-A94C-7B21C77AE140}" xr6:coauthVersionLast="47" xr6:coauthVersionMax="47" xr10:uidLastSave="{00000000-0000-0000-0000-000000000000}"/>
  <bookViews>
    <workbookView xWindow="2580" yWindow="22360" windowWidth="34200" windowHeight="21380" xr2:uid="{00000000-000D-0000-FFFF-FFFF00000000}"/>
  </bookViews>
  <sheets>
    <sheet name="Measures of central tendancy" sheetId="1" r:id="rId1"/>
  </sheets>
  <definedNames>
    <definedName name="_xlchart.v1.0" hidden="1">'Measures of central tendancy'!$G$4:$G$13</definedName>
    <definedName name="_xlchart.v1.1" hidden="1">'Measures of central tendancy'!$K$4:$K$13</definedName>
    <definedName name="_xlchart.v1.2" hidden="1">'Measures of central tendancy'!$M$4:$M$13</definedName>
    <definedName name="_xlchart.v1.3" hidden="1">'Measures of central tendancy'!$Q$4:$Q$13</definedName>
    <definedName name="_xlchart.v1.4" hidden="1">'Measures of central tendancy'!$Q$4:$Q$13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E104" i="1"/>
  <c r="E102" i="1"/>
  <c r="E7" i="1"/>
  <c r="E8" i="1"/>
  <c r="E9" i="1"/>
  <c r="E10" i="1"/>
  <c r="E15" i="1"/>
  <c r="E16" i="1"/>
  <c r="E17" i="1"/>
  <c r="E18" i="1"/>
  <c r="E23" i="1"/>
  <c r="E24" i="1"/>
  <c r="E25" i="1"/>
  <c r="E26" i="1"/>
  <c r="E31" i="1"/>
  <c r="E32" i="1"/>
  <c r="E33" i="1"/>
  <c r="E34" i="1"/>
  <c r="E39" i="1"/>
  <c r="E40" i="1"/>
  <c r="E41" i="1"/>
  <c r="E42" i="1"/>
  <c r="E47" i="1"/>
  <c r="E48" i="1"/>
  <c r="E49" i="1"/>
  <c r="E50" i="1"/>
  <c r="E55" i="1"/>
  <c r="E56" i="1"/>
  <c r="E57" i="1"/>
  <c r="E58" i="1"/>
  <c r="E63" i="1"/>
  <c r="E64" i="1"/>
  <c r="E65" i="1"/>
  <c r="E66" i="1"/>
  <c r="E71" i="1"/>
  <c r="E72" i="1"/>
  <c r="E73" i="1"/>
  <c r="E74" i="1"/>
  <c r="E79" i="1"/>
  <c r="E80" i="1"/>
  <c r="E81" i="1"/>
  <c r="E82" i="1"/>
  <c r="E87" i="1"/>
  <c r="E88" i="1"/>
  <c r="E89" i="1"/>
  <c r="E90" i="1"/>
  <c r="E95" i="1"/>
  <c r="E96" i="1"/>
  <c r="E97" i="1"/>
  <c r="E98" i="1"/>
  <c r="B102" i="1"/>
  <c r="J6" i="1"/>
  <c r="D5" i="1"/>
  <c r="D15" i="1"/>
  <c r="D16" i="1"/>
  <c r="D24" i="1"/>
  <c r="D25" i="1"/>
  <c r="D39" i="1"/>
  <c r="D40" i="1"/>
  <c r="D41" i="1"/>
  <c r="D49" i="1"/>
  <c r="D55" i="1"/>
  <c r="D63" i="1"/>
  <c r="D64" i="1"/>
  <c r="D65" i="1"/>
  <c r="D69" i="1"/>
  <c r="D79" i="1"/>
  <c r="D80" i="1"/>
  <c r="D88" i="1"/>
  <c r="D89" i="1"/>
  <c r="C3" i="1"/>
  <c r="D3" i="1" s="1"/>
  <c r="C4" i="1"/>
  <c r="D4" i="1" s="1"/>
  <c r="C5" i="1"/>
  <c r="E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E13" i="1" s="1"/>
  <c r="C14" i="1"/>
  <c r="E14" i="1" s="1"/>
  <c r="C15" i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C26" i="1"/>
  <c r="D26" i="1" s="1"/>
  <c r="C27" i="1"/>
  <c r="D27" i="1" s="1"/>
  <c r="C28" i="1"/>
  <c r="D28" i="1" s="1"/>
  <c r="C29" i="1"/>
  <c r="E29" i="1" s="1"/>
  <c r="C30" i="1"/>
  <c r="E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E37" i="1" s="1"/>
  <c r="C38" i="1"/>
  <c r="E38" i="1" s="1"/>
  <c r="C39" i="1"/>
  <c r="C40" i="1"/>
  <c r="C41" i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C50" i="1"/>
  <c r="D50" i="1" s="1"/>
  <c r="C51" i="1"/>
  <c r="D51" i="1" s="1"/>
  <c r="C52" i="1"/>
  <c r="D52" i="1" s="1"/>
  <c r="C53" i="1"/>
  <c r="E53" i="1" s="1"/>
  <c r="C54" i="1"/>
  <c r="E54" i="1" s="1"/>
  <c r="C55" i="1"/>
  <c r="C56" i="1"/>
  <c r="D56" i="1" s="1"/>
  <c r="C57" i="1"/>
  <c r="D57" i="1" s="1"/>
  <c r="C58" i="1"/>
  <c r="D58" i="1" s="1"/>
  <c r="C59" i="1"/>
  <c r="D59" i="1" s="1"/>
  <c r="C60" i="1"/>
  <c r="D60" i="1" s="1"/>
  <c r="C61" i="1"/>
  <c r="E61" i="1" s="1"/>
  <c r="C62" i="1"/>
  <c r="E62" i="1" s="1"/>
  <c r="C63" i="1"/>
  <c r="C64" i="1"/>
  <c r="C65" i="1"/>
  <c r="C66" i="1"/>
  <c r="D66" i="1" s="1"/>
  <c r="C67" i="1"/>
  <c r="D67" i="1" s="1"/>
  <c r="C68" i="1"/>
  <c r="D68" i="1" s="1"/>
  <c r="C69" i="1"/>
  <c r="E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E77" i="1" s="1"/>
  <c r="C78" i="1"/>
  <c r="E78" i="1" s="1"/>
  <c r="C79" i="1"/>
  <c r="C80" i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C89" i="1"/>
  <c r="C90" i="1"/>
  <c r="D90" i="1" s="1"/>
  <c r="C91" i="1"/>
  <c r="D91" i="1" s="1"/>
  <c r="C92" i="1"/>
  <c r="D92" i="1" s="1"/>
  <c r="C93" i="1"/>
  <c r="E93" i="1" s="1"/>
  <c r="C94" i="1"/>
  <c r="E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2" i="1"/>
  <c r="D2" i="1" s="1"/>
  <c r="J8" i="1"/>
  <c r="M4" i="1"/>
  <c r="P4" i="1"/>
  <c r="Q4" i="1" s="1"/>
  <c r="O5" i="1"/>
  <c r="O6" i="1" s="1"/>
  <c r="O7" i="1" s="1"/>
  <c r="O8" i="1" s="1"/>
  <c r="O9" i="1" s="1"/>
  <c r="O10" i="1" s="1"/>
  <c r="O11" i="1" s="1"/>
  <c r="O12" i="1" s="1"/>
  <c r="O13" i="1" s="1"/>
  <c r="N5" i="1"/>
  <c r="N6" i="1" s="1"/>
  <c r="J5" i="1"/>
  <c r="D29" i="1" l="1"/>
  <c r="D94" i="1"/>
  <c r="D30" i="1"/>
  <c r="D93" i="1"/>
  <c r="D54" i="1"/>
  <c r="D78" i="1"/>
  <c r="D53" i="1"/>
  <c r="D14" i="1"/>
  <c r="D77" i="1"/>
  <c r="D38" i="1"/>
  <c r="D13" i="1"/>
  <c r="D102" i="1" s="1"/>
  <c r="K21" i="1" s="1"/>
  <c r="C102" i="1"/>
  <c r="J23" i="1" s="1"/>
  <c r="J24" i="1" s="1"/>
  <c r="D62" i="1"/>
  <c r="D37" i="1"/>
  <c r="K22" i="1" s="1"/>
  <c r="E86" i="1"/>
  <c r="E70" i="1"/>
  <c r="E46" i="1"/>
  <c r="E22" i="1"/>
  <c r="E6" i="1"/>
  <c r="D61" i="1"/>
  <c r="E85" i="1"/>
  <c r="E45" i="1"/>
  <c r="E21" i="1"/>
  <c r="E100" i="1"/>
  <c r="E92" i="1"/>
  <c r="E84" i="1"/>
  <c r="E76" i="1"/>
  <c r="E68" i="1"/>
  <c r="E60" i="1"/>
  <c r="E52" i="1"/>
  <c r="E44" i="1"/>
  <c r="E36" i="1"/>
  <c r="E28" i="1"/>
  <c r="E20" i="1"/>
  <c r="E12" i="1"/>
  <c r="E4" i="1"/>
  <c r="E99" i="1"/>
  <c r="E91" i="1"/>
  <c r="E83" i="1"/>
  <c r="E75" i="1"/>
  <c r="E67" i="1"/>
  <c r="E59" i="1"/>
  <c r="E51" i="1"/>
  <c r="E43" i="1"/>
  <c r="E35" i="1"/>
  <c r="E27" i="1"/>
  <c r="E19" i="1"/>
  <c r="E11" i="1"/>
  <c r="E3" i="1"/>
  <c r="J4" i="1"/>
  <c r="J21" i="1"/>
  <c r="M6" i="1"/>
  <c r="M5" i="1"/>
  <c r="P6" i="1"/>
  <c r="Q6" i="1" s="1"/>
  <c r="N7" i="1"/>
  <c r="M7" i="1" s="1"/>
  <c r="P5" i="1"/>
  <c r="Q5" i="1" s="1"/>
  <c r="J22" i="1" l="1"/>
  <c r="K23" i="1"/>
  <c r="K24" i="1" s="1"/>
  <c r="E2" i="1"/>
  <c r="P7" i="1"/>
  <c r="Q7" i="1" s="1"/>
  <c r="N8" i="1"/>
  <c r="M8" i="1" s="1"/>
  <c r="P8" i="1" l="1"/>
  <c r="Q8" i="1" s="1"/>
  <c r="N9" i="1"/>
  <c r="M9" i="1" s="1"/>
  <c r="P9" i="1" l="1"/>
  <c r="Q9" i="1" s="1"/>
  <c r="N10" i="1"/>
  <c r="M10" i="1" s="1"/>
  <c r="P10" i="1" l="1"/>
  <c r="Q10" i="1" s="1"/>
  <c r="N11" i="1"/>
  <c r="M11" i="1" s="1"/>
  <c r="N12" i="1" l="1"/>
  <c r="M12" i="1" s="1"/>
  <c r="P11" i="1"/>
  <c r="Q11" i="1" s="1"/>
  <c r="N13" i="1" l="1"/>
  <c r="P12" i="1"/>
  <c r="Q12" i="1" s="1"/>
  <c r="P13" i="1" l="1"/>
  <c r="Q13" i="1" s="1"/>
  <c r="M13" i="1"/>
  <c r="P14" i="1" l="1"/>
</calcChain>
</file>

<file path=xl/sharedStrings.xml><?xml version="1.0" encoding="utf-8"?>
<sst xmlns="http://schemas.openxmlformats.org/spreadsheetml/2006/main" count="30" uniqueCount="25">
  <si>
    <t>CustomerID</t>
  </si>
  <si>
    <t>Median</t>
  </si>
  <si>
    <t>Monthly Spend</t>
  </si>
  <si>
    <t>Mean</t>
  </si>
  <si>
    <t>Mode</t>
  </si>
  <si>
    <t>ATV</t>
  </si>
  <si>
    <t>Interval start</t>
  </si>
  <si>
    <t>Interval end</t>
  </si>
  <si>
    <t>Frequency</t>
  </si>
  <si>
    <t>Relative frequency</t>
  </si>
  <si>
    <t>Frequency Distribution</t>
  </si>
  <si>
    <t>Interval</t>
  </si>
  <si>
    <t>Skew</t>
  </si>
  <si>
    <t>Sample variance</t>
  </si>
  <si>
    <t>Spent £</t>
  </si>
  <si>
    <t>Spent $</t>
  </si>
  <si>
    <t>Spent</t>
  </si>
  <si>
    <t>£</t>
  </si>
  <si>
    <t>$</t>
  </si>
  <si>
    <t>Sample standard deviation</t>
  </si>
  <si>
    <t>Sample coefficient of variation</t>
  </si>
  <si>
    <t>Standard deviation and coefficient of variation</t>
  </si>
  <si>
    <t>Measures of central tendency</t>
  </si>
  <si>
    <t>Covariance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</si>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</sst>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'Measures of central tendancy'!$B$2:$B$100</c:f>
              <c:numCache>
                <c:formatCode>0</c:formatCode>
                <c:ptCount val="99"/>
                <c:pt idx="0">
                  <c:v>13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35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40</c:v>
                </c:pt>
                <c:pt idx="16">
                  <c:v>41</c:v>
                </c:pt>
                <c:pt idx="17">
                  <c:v>41</c:v>
                </c:pt>
                <c:pt idx="18">
                  <c:v>43</c:v>
                </c:pt>
                <c:pt idx="19">
                  <c:v>44</c:v>
                </c:pt>
                <c:pt idx="20">
                  <c:v>46</c:v>
                </c:pt>
                <c:pt idx="21">
                  <c:v>47</c:v>
                </c:pt>
                <c:pt idx="22">
                  <c:v>47</c:v>
                </c:pt>
                <c:pt idx="23">
                  <c:v>49</c:v>
                </c:pt>
                <c:pt idx="24">
                  <c:v>49</c:v>
                </c:pt>
                <c:pt idx="25">
                  <c:v>53</c:v>
                </c:pt>
                <c:pt idx="26">
                  <c:v>54</c:v>
                </c:pt>
                <c:pt idx="27">
                  <c:v>54</c:v>
                </c:pt>
                <c:pt idx="28">
                  <c:v>55</c:v>
                </c:pt>
                <c:pt idx="29">
                  <c:v>55</c:v>
                </c:pt>
                <c:pt idx="30">
                  <c:v>56</c:v>
                </c:pt>
                <c:pt idx="31">
                  <c:v>57</c:v>
                </c:pt>
                <c:pt idx="32">
                  <c:v>58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61</c:v>
                </c:pt>
                <c:pt idx="37">
                  <c:v>62</c:v>
                </c:pt>
                <c:pt idx="38">
                  <c:v>62</c:v>
                </c:pt>
                <c:pt idx="39">
                  <c:v>62</c:v>
                </c:pt>
                <c:pt idx="40">
                  <c:v>62</c:v>
                </c:pt>
                <c:pt idx="41">
                  <c:v>64</c:v>
                </c:pt>
                <c:pt idx="42">
                  <c:v>66</c:v>
                </c:pt>
                <c:pt idx="43">
                  <c:v>67</c:v>
                </c:pt>
                <c:pt idx="44">
                  <c:v>69</c:v>
                </c:pt>
                <c:pt idx="45">
                  <c:v>70</c:v>
                </c:pt>
                <c:pt idx="46">
                  <c:v>72</c:v>
                </c:pt>
                <c:pt idx="47">
                  <c:v>73</c:v>
                </c:pt>
                <c:pt idx="48">
                  <c:v>74</c:v>
                </c:pt>
                <c:pt idx="49">
                  <c:v>76</c:v>
                </c:pt>
                <c:pt idx="50">
                  <c:v>76</c:v>
                </c:pt>
                <c:pt idx="51">
                  <c:v>77</c:v>
                </c:pt>
                <c:pt idx="52">
                  <c:v>77</c:v>
                </c:pt>
                <c:pt idx="53">
                  <c:v>77</c:v>
                </c:pt>
                <c:pt idx="54">
                  <c:v>79</c:v>
                </c:pt>
                <c:pt idx="55">
                  <c:v>80</c:v>
                </c:pt>
                <c:pt idx="56">
                  <c:v>80</c:v>
                </c:pt>
                <c:pt idx="57">
                  <c:v>83</c:v>
                </c:pt>
                <c:pt idx="58">
                  <c:v>83</c:v>
                </c:pt>
                <c:pt idx="59">
                  <c:v>83</c:v>
                </c:pt>
                <c:pt idx="60">
                  <c:v>85</c:v>
                </c:pt>
                <c:pt idx="61">
                  <c:v>85</c:v>
                </c:pt>
                <c:pt idx="62">
                  <c:v>90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94</c:v>
                </c:pt>
                <c:pt idx="69">
                  <c:v>95</c:v>
                </c:pt>
                <c:pt idx="70">
                  <c:v>96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5">
                  <c:v>98</c:v>
                </c:pt>
                <c:pt idx="76">
                  <c:v>99</c:v>
                </c:pt>
                <c:pt idx="77">
                  <c:v>99</c:v>
                </c:pt>
                <c:pt idx="78">
                  <c:v>99</c:v>
                </c:pt>
                <c:pt idx="79">
                  <c:v>101</c:v>
                </c:pt>
                <c:pt idx="80">
                  <c:v>102</c:v>
                </c:pt>
                <c:pt idx="81">
                  <c:v>102</c:v>
                </c:pt>
                <c:pt idx="82">
                  <c:v>104</c:v>
                </c:pt>
                <c:pt idx="83">
                  <c:v>107</c:v>
                </c:pt>
                <c:pt idx="84">
                  <c:v>111</c:v>
                </c:pt>
                <c:pt idx="85">
                  <c:v>112</c:v>
                </c:pt>
                <c:pt idx="86">
                  <c:v>122</c:v>
                </c:pt>
                <c:pt idx="87">
                  <c:v>122</c:v>
                </c:pt>
                <c:pt idx="88">
                  <c:v>124</c:v>
                </c:pt>
                <c:pt idx="89">
                  <c:v>127</c:v>
                </c:pt>
                <c:pt idx="90">
                  <c:v>127</c:v>
                </c:pt>
                <c:pt idx="91">
                  <c:v>129</c:v>
                </c:pt>
                <c:pt idx="92">
                  <c:v>132</c:v>
                </c:pt>
                <c:pt idx="93">
                  <c:v>137</c:v>
                </c:pt>
                <c:pt idx="94">
                  <c:v>154</c:v>
                </c:pt>
                <c:pt idx="95">
                  <c:v>158</c:v>
                </c:pt>
                <c:pt idx="96">
                  <c:v>165</c:v>
                </c:pt>
                <c:pt idx="97">
                  <c:v>168</c:v>
                </c:pt>
                <c:pt idx="98">
                  <c:v>198</c:v>
                </c:pt>
              </c:numCache>
            </c:numRef>
          </c:xVal>
          <c:yVal>
            <c:numRef>
              <c:f>'Measures of central tendancy'!$C$2:$C$100</c:f>
              <c:numCache>
                <c:formatCode>0</c:formatCode>
                <c:ptCount val="99"/>
                <c:pt idx="0">
                  <c:v>130</c:v>
                </c:pt>
                <c:pt idx="1">
                  <c:v>210</c:v>
                </c:pt>
                <c:pt idx="2">
                  <c:v>230</c:v>
                </c:pt>
                <c:pt idx="3">
                  <c:v>280</c:v>
                </c:pt>
                <c:pt idx="4">
                  <c:v>300</c:v>
                </c:pt>
                <c:pt idx="5">
                  <c:v>310</c:v>
                </c:pt>
                <c:pt idx="6">
                  <c:v>310</c:v>
                </c:pt>
                <c:pt idx="7">
                  <c:v>320</c:v>
                </c:pt>
                <c:pt idx="8">
                  <c:v>330</c:v>
                </c:pt>
                <c:pt idx="9">
                  <c:v>350</c:v>
                </c:pt>
                <c:pt idx="10">
                  <c:v>350</c:v>
                </c:pt>
                <c:pt idx="11">
                  <c:v>360</c:v>
                </c:pt>
                <c:pt idx="12">
                  <c:v>370</c:v>
                </c:pt>
                <c:pt idx="13">
                  <c:v>370</c:v>
                </c:pt>
                <c:pt idx="14">
                  <c:v>370</c:v>
                </c:pt>
                <c:pt idx="15">
                  <c:v>400</c:v>
                </c:pt>
                <c:pt idx="16">
                  <c:v>410</c:v>
                </c:pt>
                <c:pt idx="17">
                  <c:v>410</c:v>
                </c:pt>
                <c:pt idx="18">
                  <c:v>430</c:v>
                </c:pt>
                <c:pt idx="19">
                  <c:v>440</c:v>
                </c:pt>
                <c:pt idx="20">
                  <c:v>460</c:v>
                </c:pt>
                <c:pt idx="21">
                  <c:v>470</c:v>
                </c:pt>
                <c:pt idx="22">
                  <c:v>470</c:v>
                </c:pt>
                <c:pt idx="23">
                  <c:v>490</c:v>
                </c:pt>
                <c:pt idx="24">
                  <c:v>490</c:v>
                </c:pt>
                <c:pt idx="25">
                  <c:v>530</c:v>
                </c:pt>
                <c:pt idx="26">
                  <c:v>540</c:v>
                </c:pt>
                <c:pt idx="27">
                  <c:v>540</c:v>
                </c:pt>
                <c:pt idx="28">
                  <c:v>550</c:v>
                </c:pt>
                <c:pt idx="29">
                  <c:v>550</c:v>
                </c:pt>
                <c:pt idx="30">
                  <c:v>560</c:v>
                </c:pt>
                <c:pt idx="31">
                  <c:v>570</c:v>
                </c:pt>
                <c:pt idx="32">
                  <c:v>580</c:v>
                </c:pt>
                <c:pt idx="33">
                  <c:v>590</c:v>
                </c:pt>
                <c:pt idx="34">
                  <c:v>590</c:v>
                </c:pt>
                <c:pt idx="35">
                  <c:v>590</c:v>
                </c:pt>
                <c:pt idx="36">
                  <c:v>610</c:v>
                </c:pt>
                <c:pt idx="37">
                  <c:v>620</c:v>
                </c:pt>
                <c:pt idx="38">
                  <c:v>620</c:v>
                </c:pt>
                <c:pt idx="39">
                  <c:v>620</c:v>
                </c:pt>
                <c:pt idx="40">
                  <c:v>620</c:v>
                </c:pt>
                <c:pt idx="41">
                  <c:v>640</c:v>
                </c:pt>
                <c:pt idx="42">
                  <c:v>660</c:v>
                </c:pt>
                <c:pt idx="43">
                  <c:v>670</c:v>
                </c:pt>
                <c:pt idx="44">
                  <c:v>690</c:v>
                </c:pt>
                <c:pt idx="45">
                  <c:v>700</c:v>
                </c:pt>
                <c:pt idx="46">
                  <c:v>720</c:v>
                </c:pt>
                <c:pt idx="47">
                  <c:v>730</c:v>
                </c:pt>
                <c:pt idx="48">
                  <c:v>740</c:v>
                </c:pt>
                <c:pt idx="49">
                  <c:v>760</c:v>
                </c:pt>
                <c:pt idx="50">
                  <c:v>760</c:v>
                </c:pt>
                <c:pt idx="51">
                  <c:v>770</c:v>
                </c:pt>
                <c:pt idx="52">
                  <c:v>770</c:v>
                </c:pt>
                <c:pt idx="53">
                  <c:v>770</c:v>
                </c:pt>
                <c:pt idx="54">
                  <c:v>790</c:v>
                </c:pt>
                <c:pt idx="55">
                  <c:v>800</c:v>
                </c:pt>
                <c:pt idx="56">
                  <c:v>800</c:v>
                </c:pt>
                <c:pt idx="57">
                  <c:v>830</c:v>
                </c:pt>
                <c:pt idx="58">
                  <c:v>830</c:v>
                </c:pt>
                <c:pt idx="59">
                  <c:v>830</c:v>
                </c:pt>
                <c:pt idx="60">
                  <c:v>850</c:v>
                </c:pt>
                <c:pt idx="61">
                  <c:v>850</c:v>
                </c:pt>
                <c:pt idx="62">
                  <c:v>900</c:v>
                </c:pt>
                <c:pt idx="63">
                  <c:v>900</c:v>
                </c:pt>
                <c:pt idx="64">
                  <c:v>910</c:v>
                </c:pt>
                <c:pt idx="65">
                  <c:v>920</c:v>
                </c:pt>
                <c:pt idx="66">
                  <c:v>930</c:v>
                </c:pt>
                <c:pt idx="67">
                  <c:v>940</c:v>
                </c:pt>
                <c:pt idx="68">
                  <c:v>940</c:v>
                </c:pt>
                <c:pt idx="69">
                  <c:v>950</c:v>
                </c:pt>
                <c:pt idx="70">
                  <c:v>960</c:v>
                </c:pt>
                <c:pt idx="71">
                  <c:v>960</c:v>
                </c:pt>
                <c:pt idx="72">
                  <c:v>960</c:v>
                </c:pt>
                <c:pt idx="73">
                  <c:v>960</c:v>
                </c:pt>
                <c:pt idx="74">
                  <c:v>960</c:v>
                </c:pt>
                <c:pt idx="75">
                  <c:v>980</c:v>
                </c:pt>
                <c:pt idx="76">
                  <c:v>990</c:v>
                </c:pt>
                <c:pt idx="77">
                  <c:v>990</c:v>
                </c:pt>
                <c:pt idx="78">
                  <c:v>990</c:v>
                </c:pt>
                <c:pt idx="79">
                  <c:v>1010</c:v>
                </c:pt>
                <c:pt idx="80">
                  <c:v>1020</c:v>
                </c:pt>
                <c:pt idx="81">
                  <c:v>1020</c:v>
                </c:pt>
                <c:pt idx="82">
                  <c:v>1040</c:v>
                </c:pt>
                <c:pt idx="83">
                  <c:v>1070</c:v>
                </c:pt>
                <c:pt idx="84">
                  <c:v>1110</c:v>
                </c:pt>
                <c:pt idx="85">
                  <c:v>1120</c:v>
                </c:pt>
                <c:pt idx="86">
                  <c:v>1220</c:v>
                </c:pt>
                <c:pt idx="87">
                  <c:v>1220</c:v>
                </c:pt>
                <c:pt idx="88">
                  <c:v>1240</c:v>
                </c:pt>
                <c:pt idx="89">
                  <c:v>1270</c:v>
                </c:pt>
                <c:pt idx="90">
                  <c:v>1270</c:v>
                </c:pt>
                <c:pt idx="91">
                  <c:v>1290</c:v>
                </c:pt>
                <c:pt idx="92">
                  <c:v>1320</c:v>
                </c:pt>
                <c:pt idx="93">
                  <c:v>1370</c:v>
                </c:pt>
                <c:pt idx="94">
                  <c:v>1540</c:v>
                </c:pt>
                <c:pt idx="95">
                  <c:v>1580</c:v>
                </c:pt>
                <c:pt idx="96">
                  <c:v>1650</c:v>
                </c:pt>
                <c:pt idx="97">
                  <c:v>1680</c:v>
                </c:pt>
                <c:pt idx="98">
                  <c:v>1980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7-A443-8BF1-7F980E532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784367"/>
        <c:axId val="216835183"/>
      </c:scatterChart>
      <c:valAx>
        <c:axId val="146178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835183"/>
        <c:crosses val="autoZero"/>
        <c:crossBetween val="midCat"/>
      </c:valAx>
      <c:valAx>
        <c:axId val="2168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78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Relative frequency</a:t>
            </a:r>
            <a:endPara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endParaRPr>
          </a:p>
        </cx:rich>
      </cx:tx>
    </cx:title>
    <cx:plotArea>
      <cx:plotAreaRegion>
        <cx:series layoutId="clusteredColumn" uniqueId="{B68FA22A-B94A-7B47-AFBF-6F61B7F85417}">
          <cx:dataId val="0"/>
          <cx:layoutPr>
            <cx:aggregation/>
          </cx:layoutPr>
          <cx:axisId val="1"/>
        </cx:series>
        <cx:series layoutId="paretoLine" ownerIdx="0" uniqueId="{78A636F2-4DBD-A34C-92C2-A9D65111CB5F}">
          <cx:axisId val="2"/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171450</xdr:colOff>
      <xdr:row>4</xdr:row>
      <xdr:rowOff>184150</xdr:rowOff>
    </xdr:from>
    <xdr:to>
      <xdr:col>25</xdr:col>
      <xdr:colOff>546100</xdr:colOff>
      <xdr:row>17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B1B0F65-949D-8D48-7BF5-4EC745508B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6150" y="946150"/>
              <a:ext cx="5746750" cy="234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114300</xdr:colOff>
      <xdr:row>19</xdr:row>
      <xdr:rowOff>107950</xdr:rowOff>
    </xdr:from>
    <xdr:to>
      <xdr:col>25</xdr:col>
      <xdr:colOff>558800</xdr:colOff>
      <xdr:row>32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AA26A3D-43D8-66AC-C3AE-86237F052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B1" workbookViewId="0">
      <pane ySplit="1" topLeftCell="A2" activePane="bottomLeft" state="frozen"/>
      <selection pane="bottomLeft" activeCell="H34" sqref="H34"/>
    </sheetView>
  </sheetViews>
  <sheetFormatPr baseColWidth="10" defaultColWidth="8.83203125" defaultRowHeight="15" x14ac:dyDescent="0.2"/>
  <cols>
    <col min="1" max="1" width="10.1640625" style="1" bestFit="1" customWidth="1"/>
    <col min="2" max="2" width="13.1640625" style="1" bestFit="1" customWidth="1"/>
    <col min="3" max="3" width="13.1640625" style="1" customWidth="1"/>
    <col min="4" max="8" width="14" style="1" customWidth="1"/>
    <col min="9" max="9" width="25.6640625" style="3" customWidth="1"/>
    <col min="10" max="10" width="13.33203125" style="1" bestFit="1" customWidth="1"/>
    <col min="11" max="11" width="10.6640625" style="1" bestFit="1" customWidth="1"/>
    <col min="12" max="12" width="10.6640625" style="1" customWidth="1"/>
    <col min="13" max="13" width="8.83203125" style="1" customWidth="1"/>
    <col min="14" max="14" width="10.83203125" style="1" bestFit="1" customWidth="1"/>
    <col min="15" max="15" width="10.1640625" style="1" bestFit="1" customWidth="1"/>
    <col min="16" max="16" width="9" style="1" bestFit="1" customWidth="1"/>
    <col min="17" max="17" width="15" style="1" bestFit="1" customWidth="1"/>
    <col min="18" max="18" width="8.83203125" style="1"/>
    <col min="19" max="19" width="17.5" style="1" customWidth="1"/>
    <col min="20" max="16384" width="8.83203125" style="1"/>
  </cols>
  <sheetData>
    <row r="1" spans="1:17" x14ac:dyDescent="0.2">
      <c r="A1" s="1" t="s">
        <v>0</v>
      </c>
      <c r="B1" s="1" t="s">
        <v>5</v>
      </c>
      <c r="C1" s="1" t="s">
        <v>14</v>
      </c>
      <c r="D1" s="1" t="s">
        <v>15</v>
      </c>
      <c r="E1" s="1" t="s">
        <v>23</v>
      </c>
    </row>
    <row r="2" spans="1:17" x14ac:dyDescent="0.2">
      <c r="A2" s="1">
        <v>97</v>
      </c>
      <c r="B2" s="2">
        <v>13</v>
      </c>
      <c r="C2" s="2">
        <f>B2*10</f>
        <v>130</v>
      </c>
      <c r="D2" s="1">
        <f>C2*1.2</f>
        <v>156</v>
      </c>
      <c r="E2" s="2">
        <f>(B2-B102)*(C2-C102)</f>
        <v>41257.913478216513</v>
      </c>
      <c r="F2" s="2"/>
      <c r="G2" s="2"/>
      <c r="H2" s="2"/>
      <c r="I2" s="5" t="s">
        <v>22</v>
      </c>
      <c r="J2" s="5"/>
      <c r="N2" s="5" t="s">
        <v>10</v>
      </c>
      <c r="O2" s="5"/>
      <c r="P2" s="5"/>
      <c r="Q2" s="5"/>
    </row>
    <row r="3" spans="1:17" x14ac:dyDescent="0.2">
      <c r="A3" s="1">
        <v>21</v>
      </c>
      <c r="B3" s="2">
        <v>21</v>
      </c>
      <c r="C3" s="2">
        <f t="shared" ref="C3:C66" si="0">B3*10</f>
        <v>210</v>
      </c>
      <c r="D3" s="1">
        <f t="shared" ref="D3:D66" si="1">C3*1.2</f>
        <v>252</v>
      </c>
      <c r="E3" s="1">
        <f t="shared" ref="E3:E66" si="2">(B3-B103)*(C3-C103)</f>
        <v>4410</v>
      </c>
      <c r="I3" s="3" t="s">
        <v>5</v>
      </c>
      <c r="J3" s="1" t="s">
        <v>2</v>
      </c>
      <c r="M3" s="1" t="s">
        <v>11</v>
      </c>
      <c r="N3" s="1" t="s">
        <v>6</v>
      </c>
      <c r="O3" s="1" t="s">
        <v>7</v>
      </c>
      <c r="P3" s="1" t="s">
        <v>8</v>
      </c>
      <c r="Q3" s="1" t="s">
        <v>9</v>
      </c>
    </row>
    <row r="4" spans="1:17" x14ac:dyDescent="0.2">
      <c r="A4" s="1">
        <v>99</v>
      </c>
      <c r="B4" s="2">
        <v>23</v>
      </c>
      <c r="C4" s="2">
        <f t="shared" si="0"/>
        <v>230</v>
      </c>
      <c r="D4" s="1">
        <f t="shared" si="1"/>
        <v>276</v>
      </c>
      <c r="E4" s="1">
        <f t="shared" si="2"/>
        <v>5290</v>
      </c>
      <c r="I4" s="3" t="s">
        <v>3</v>
      </c>
      <c r="J4" s="2">
        <f>AVERAGE(B:B)</f>
        <v>77.232323232323239</v>
      </c>
      <c r="M4" s="1" t="str">
        <f>CONCATENATE(N4,"-",O4)</f>
        <v>1-21</v>
      </c>
      <c r="N4" s="1">
        <v>1</v>
      </c>
      <c r="O4" s="1">
        <v>21</v>
      </c>
      <c r="P4" s="1">
        <f>COUNTIFS(B:B, "&gt;=" &amp; N4, B:B, "&lt;=" &amp; O4)</f>
        <v>2</v>
      </c>
      <c r="Q4" s="4">
        <f>P4/104</f>
        <v>1.9230769230769232E-2</v>
      </c>
    </row>
    <row r="5" spans="1:17" x14ac:dyDescent="0.2">
      <c r="A5" s="1">
        <v>83</v>
      </c>
      <c r="B5" s="2">
        <v>28</v>
      </c>
      <c r="C5" s="2">
        <f t="shared" si="0"/>
        <v>280</v>
      </c>
      <c r="D5" s="1">
        <f t="shared" si="1"/>
        <v>336</v>
      </c>
      <c r="E5" s="1">
        <f t="shared" si="2"/>
        <v>7840</v>
      </c>
      <c r="I5" s="3" t="s">
        <v>1</v>
      </c>
      <c r="J5" s="1">
        <f>MEDIAN(B:B)</f>
        <v>76</v>
      </c>
      <c r="M5" s="1" t="str">
        <f t="shared" ref="M5:M13" si="3">CONCATENATE(N5,"-",O5)</f>
        <v>21-41</v>
      </c>
      <c r="N5" s="1">
        <f>N4+20</f>
        <v>21</v>
      </c>
      <c r="O5" s="1">
        <f>O4+20</f>
        <v>41</v>
      </c>
      <c r="P5" s="1">
        <f>COUNTIFS(B:B, "&gt;=" &amp; N5, B:B, "&lt;=" &amp; O5)</f>
        <v>17</v>
      </c>
      <c r="Q5" s="4">
        <f t="shared" ref="Q5:Q13" si="4">P5/104</f>
        <v>0.16346153846153846</v>
      </c>
    </row>
    <row r="6" spans="1:17" x14ac:dyDescent="0.2">
      <c r="A6" s="1">
        <v>92</v>
      </c>
      <c r="B6" s="2">
        <v>30</v>
      </c>
      <c r="C6" s="2">
        <f t="shared" si="0"/>
        <v>300</v>
      </c>
      <c r="D6" s="1">
        <f t="shared" si="1"/>
        <v>360</v>
      </c>
      <c r="E6" s="1">
        <f t="shared" si="2"/>
        <v>9000</v>
      </c>
      <c r="I6" s="3" t="s">
        <v>4</v>
      </c>
      <c r="J6" s="1">
        <f>_xlfn.MODE.SNGL(B$2:B$1048576)</f>
        <v>96</v>
      </c>
      <c r="M6" s="1" t="str">
        <f t="shared" si="3"/>
        <v>41-61</v>
      </c>
      <c r="N6" s="1">
        <f>N5+20</f>
        <v>41</v>
      </c>
      <c r="O6" s="1">
        <f>O5+20</f>
        <v>61</v>
      </c>
      <c r="P6" s="1">
        <f>COUNTIFS(B:B, "&gt;=" &amp; N6, B:B, "&lt;=" &amp; O6)</f>
        <v>21</v>
      </c>
      <c r="Q6" s="4">
        <f t="shared" si="4"/>
        <v>0.20192307692307693</v>
      </c>
    </row>
    <row r="7" spans="1:17" x14ac:dyDescent="0.2">
      <c r="A7" s="1">
        <v>75</v>
      </c>
      <c r="B7" s="2">
        <v>31</v>
      </c>
      <c r="C7" s="2">
        <f t="shared" si="0"/>
        <v>310</v>
      </c>
      <c r="D7" s="1">
        <f t="shared" si="1"/>
        <v>372</v>
      </c>
      <c r="E7" s="1">
        <f t="shared" si="2"/>
        <v>9610</v>
      </c>
      <c r="I7" s="3" t="s">
        <v>12</v>
      </c>
      <c r="J7" s="6">
        <f>SKEW(B:B)</f>
        <v>0.77244974569104286</v>
      </c>
      <c r="M7" s="1" t="str">
        <f t="shared" si="3"/>
        <v>61-81</v>
      </c>
      <c r="N7" s="1">
        <f>N6+20</f>
        <v>61</v>
      </c>
      <c r="O7" s="1">
        <f>O6+20</f>
        <v>81</v>
      </c>
      <c r="P7" s="1">
        <f>COUNTIFS(B:B, "&gt;=" &amp; N7, B:B, "&lt;=" &amp; O7)</f>
        <v>22</v>
      </c>
      <c r="Q7" s="4">
        <f t="shared" si="4"/>
        <v>0.21153846153846154</v>
      </c>
    </row>
    <row r="8" spans="1:17" x14ac:dyDescent="0.2">
      <c r="A8" s="1">
        <v>12</v>
      </c>
      <c r="B8" s="2">
        <v>31</v>
      </c>
      <c r="C8" s="2">
        <f t="shared" si="0"/>
        <v>310</v>
      </c>
      <c r="D8" s="1">
        <f t="shared" si="1"/>
        <v>372</v>
      </c>
      <c r="E8" s="1">
        <f t="shared" si="2"/>
        <v>9610</v>
      </c>
      <c r="I8" s="3" t="s">
        <v>13</v>
      </c>
      <c r="J8" s="2">
        <f>_xlfn.VAR.S(B2:B100)</f>
        <v>1279.8944547515973</v>
      </c>
      <c r="M8" s="1" t="str">
        <f t="shared" si="3"/>
        <v>81-101</v>
      </c>
      <c r="N8" s="1">
        <f>N7+20</f>
        <v>81</v>
      </c>
      <c r="O8" s="1">
        <f>O7+20</f>
        <v>101</v>
      </c>
      <c r="P8" s="1">
        <f>COUNTIFS(B:B, "&gt;=" &amp; N8, B:B, "&lt;=" &amp; O8)</f>
        <v>23</v>
      </c>
      <c r="Q8" s="4">
        <f t="shared" si="4"/>
        <v>0.22115384615384615</v>
      </c>
    </row>
    <row r="9" spans="1:17" x14ac:dyDescent="0.2">
      <c r="A9" s="1">
        <v>96</v>
      </c>
      <c r="B9" s="2">
        <v>32</v>
      </c>
      <c r="C9" s="2">
        <f t="shared" si="0"/>
        <v>320</v>
      </c>
      <c r="D9" s="1">
        <f t="shared" si="1"/>
        <v>384</v>
      </c>
      <c r="E9" s="1">
        <f t="shared" si="2"/>
        <v>10240</v>
      </c>
      <c r="M9" s="1" t="str">
        <f t="shared" si="3"/>
        <v>101-121</v>
      </c>
      <c r="N9" s="1">
        <f>N8+20</f>
        <v>101</v>
      </c>
      <c r="O9" s="1">
        <f>O8+20</f>
        <v>121</v>
      </c>
      <c r="P9" s="1">
        <f>COUNTIFS(B:B, "&gt;=" &amp; N9, B:B, "&lt;=" &amp; O9)</f>
        <v>7</v>
      </c>
      <c r="Q9" s="4">
        <f t="shared" si="4"/>
        <v>6.7307692307692304E-2</v>
      </c>
    </row>
    <row r="10" spans="1:17" x14ac:dyDescent="0.2">
      <c r="A10" s="1">
        <v>82</v>
      </c>
      <c r="B10" s="2">
        <v>33</v>
      </c>
      <c r="C10" s="2">
        <f t="shared" si="0"/>
        <v>330</v>
      </c>
      <c r="D10" s="1">
        <f t="shared" si="1"/>
        <v>396</v>
      </c>
      <c r="E10" s="1">
        <f t="shared" si="2"/>
        <v>10890</v>
      </c>
      <c r="M10" s="1" t="str">
        <f t="shared" si="3"/>
        <v>121-141</v>
      </c>
      <c r="N10" s="1">
        <f>N9+20</f>
        <v>121</v>
      </c>
      <c r="O10" s="1">
        <f>O9+20</f>
        <v>141</v>
      </c>
      <c r="P10" s="1">
        <f>COUNTIFS(B:B, "&gt;=" &amp; N10, B:B, "&lt;=" &amp; O10)</f>
        <v>8</v>
      </c>
      <c r="Q10" s="4">
        <f t="shared" si="4"/>
        <v>7.6923076923076927E-2</v>
      </c>
    </row>
    <row r="11" spans="1:17" x14ac:dyDescent="0.2">
      <c r="A11" s="1">
        <v>56</v>
      </c>
      <c r="B11" s="2">
        <v>35</v>
      </c>
      <c r="C11" s="2">
        <f t="shared" si="0"/>
        <v>350</v>
      </c>
      <c r="D11" s="1">
        <f t="shared" si="1"/>
        <v>420</v>
      </c>
      <c r="E11" s="1">
        <f t="shared" si="2"/>
        <v>12250</v>
      </c>
      <c r="M11" s="1" t="str">
        <f t="shared" si="3"/>
        <v>141-161</v>
      </c>
      <c r="N11" s="1">
        <f>N10+20</f>
        <v>141</v>
      </c>
      <c r="O11" s="1">
        <f>O10+20</f>
        <v>161</v>
      </c>
      <c r="P11" s="1">
        <f>COUNTIFS(B:B, "&gt;=" &amp; N11, B:B, "&lt;=" &amp; O11)</f>
        <v>2</v>
      </c>
      <c r="Q11" s="4">
        <f t="shared" si="4"/>
        <v>1.9230769230769232E-2</v>
      </c>
    </row>
    <row r="12" spans="1:17" x14ac:dyDescent="0.2">
      <c r="A12" s="1">
        <v>54</v>
      </c>
      <c r="B12" s="2">
        <v>35</v>
      </c>
      <c r="C12" s="2">
        <f t="shared" si="0"/>
        <v>350</v>
      </c>
      <c r="D12" s="1">
        <f t="shared" si="1"/>
        <v>420</v>
      </c>
      <c r="E12" s="1">
        <f t="shared" si="2"/>
        <v>12250</v>
      </c>
      <c r="M12" s="1" t="str">
        <f t="shared" si="3"/>
        <v>161-181</v>
      </c>
      <c r="N12" s="1">
        <f>N11+20</f>
        <v>161</v>
      </c>
      <c r="O12" s="1">
        <f>O11+20</f>
        <v>181</v>
      </c>
      <c r="P12" s="1">
        <f>COUNTIFS(B:B, "&gt;=" &amp; N12, B:B, "&lt;=" &amp; O12)</f>
        <v>2</v>
      </c>
      <c r="Q12" s="4">
        <f t="shared" si="4"/>
        <v>1.9230769230769232E-2</v>
      </c>
    </row>
    <row r="13" spans="1:17" x14ac:dyDescent="0.2">
      <c r="A13" s="1">
        <v>57</v>
      </c>
      <c r="B13" s="2">
        <v>36</v>
      </c>
      <c r="C13" s="2">
        <f t="shared" si="0"/>
        <v>360</v>
      </c>
      <c r="D13" s="1">
        <f t="shared" si="1"/>
        <v>432</v>
      </c>
      <c r="E13" s="1">
        <f t="shared" si="2"/>
        <v>12960</v>
      </c>
      <c r="M13" s="1" t="str">
        <f t="shared" si="3"/>
        <v>181-201</v>
      </c>
      <c r="N13" s="1">
        <f>N12+20</f>
        <v>181</v>
      </c>
      <c r="O13" s="1">
        <f>O12+20</f>
        <v>201</v>
      </c>
      <c r="P13" s="1">
        <f>COUNTIFS(B:B, "&gt;=" &amp; N13, B:B, "&lt;=" &amp; O13)</f>
        <v>1</v>
      </c>
      <c r="Q13" s="4">
        <f t="shared" si="4"/>
        <v>9.6153846153846159E-3</v>
      </c>
    </row>
    <row r="14" spans="1:17" x14ac:dyDescent="0.2">
      <c r="A14" s="1">
        <v>37</v>
      </c>
      <c r="B14" s="2">
        <v>37</v>
      </c>
      <c r="C14" s="2">
        <f t="shared" si="0"/>
        <v>370</v>
      </c>
      <c r="D14" s="1">
        <f t="shared" si="1"/>
        <v>444</v>
      </c>
      <c r="E14" s="1">
        <f t="shared" si="2"/>
        <v>13690</v>
      </c>
      <c r="P14" s="1">
        <f>SUM(P4:P13)</f>
        <v>105</v>
      </c>
      <c r="Q14" s="4"/>
    </row>
    <row r="15" spans="1:17" x14ac:dyDescent="0.2">
      <c r="A15" s="1">
        <v>13</v>
      </c>
      <c r="B15" s="2">
        <v>37</v>
      </c>
      <c r="C15" s="2">
        <f t="shared" si="0"/>
        <v>370</v>
      </c>
      <c r="D15" s="1">
        <f t="shared" si="1"/>
        <v>444</v>
      </c>
      <c r="E15" s="1">
        <f t="shared" si="2"/>
        <v>13690</v>
      </c>
    </row>
    <row r="16" spans="1:17" x14ac:dyDescent="0.2">
      <c r="A16" s="1">
        <v>8</v>
      </c>
      <c r="B16" s="2">
        <v>37</v>
      </c>
      <c r="C16" s="2">
        <f t="shared" si="0"/>
        <v>370</v>
      </c>
      <c r="D16" s="1">
        <f t="shared" si="1"/>
        <v>444</v>
      </c>
      <c r="E16" s="1">
        <f t="shared" si="2"/>
        <v>13690</v>
      </c>
    </row>
    <row r="17" spans="1:12" x14ac:dyDescent="0.2">
      <c r="A17" s="1">
        <v>6</v>
      </c>
      <c r="B17" s="2">
        <v>40</v>
      </c>
      <c r="C17" s="2">
        <f t="shared" si="0"/>
        <v>400</v>
      </c>
      <c r="D17" s="1">
        <f t="shared" si="1"/>
        <v>480</v>
      </c>
      <c r="E17" s="1">
        <f t="shared" si="2"/>
        <v>16000</v>
      </c>
    </row>
    <row r="18" spans="1:12" x14ac:dyDescent="0.2">
      <c r="A18" s="1">
        <v>7</v>
      </c>
      <c r="B18" s="2">
        <v>41</v>
      </c>
      <c r="C18" s="2">
        <f t="shared" si="0"/>
        <v>410</v>
      </c>
      <c r="D18" s="1">
        <f t="shared" si="1"/>
        <v>492</v>
      </c>
      <c r="E18" s="1">
        <f t="shared" si="2"/>
        <v>16810</v>
      </c>
    </row>
    <row r="19" spans="1:12" x14ac:dyDescent="0.2">
      <c r="A19" s="1">
        <v>89</v>
      </c>
      <c r="B19" s="2">
        <v>41</v>
      </c>
      <c r="C19" s="2">
        <f t="shared" si="0"/>
        <v>410</v>
      </c>
      <c r="D19" s="1">
        <f t="shared" si="1"/>
        <v>492</v>
      </c>
      <c r="E19" s="1">
        <f t="shared" si="2"/>
        <v>16810</v>
      </c>
      <c r="I19" s="5" t="s">
        <v>21</v>
      </c>
      <c r="J19" s="5"/>
      <c r="K19" s="5"/>
    </row>
    <row r="20" spans="1:12" x14ac:dyDescent="0.2">
      <c r="A20" s="1">
        <v>88</v>
      </c>
      <c r="B20" s="2">
        <v>43</v>
      </c>
      <c r="C20" s="2">
        <f t="shared" si="0"/>
        <v>430</v>
      </c>
      <c r="D20" s="1">
        <f t="shared" si="1"/>
        <v>516</v>
      </c>
      <c r="E20" s="1">
        <f t="shared" si="2"/>
        <v>18490</v>
      </c>
      <c r="I20" s="3" t="s">
        <v>16</v>
      </c>
      <c r="J20" s="1" t="s">
        <v>17</v>
      </c>
      <c r="K20" s="1" t="s">
        <v>18</v>
      </c>
    </row>
    <row r="21" spans="1:12" x14ac:dyDescent="0.2">
      <c r="A21" s="1">
        <v>17</v>
      </c>
      <c r="B21" s="2">
        <v>44</v>
      </c>
      <c r="C21" s="2">
        <f t="shared" si="0"/>
        <v>440</v>
      </c>
      <c r="D21" s="1">
        <f t="shared" si="1"/>
        <v>528</v>
      </c>
      <c r="E21" s="1">
        <f t="shared" si="2"/>
        <v>19360</v>
      </c>
      <c r="I21" s="3" t="s">
        <v>3</v>
      </c>
      <c r="J21" s="2">
        <f>AVERAGE(C:C)</f>
        <v>772.32323232323233</v>
      </c>
      <c r="K21" s="2">
        <f>AVERAGE(D:D)</f>
        <v>926.78787878787875</v>
      </c>
      <c r="L21" s="2"/>
    </row>
    <row r="22" spans="1:12" x14ac:dyDescent="0.2">
      <c r="A22" s="1">
        <v>73</v>
      </c>
      <c r="B22" s="2">
        <v>46</v>
      </c>
      <c r="C22" s="2">
        <f t="shared" si="0"/>
        <v>460</v>
      </c>
      <c r="D22" s="1">
        <f t="shared" si="1"/>
        <v>552</v>
      </c>
      <c r="E22" s="1">
        <f t="shared" si="2"/>
        <v>21160</v>
      </c>
      <c r="I22" s="3" t="s">
        <v>13</v>
      </c>
      <c r="J22" s="2">
        <f>_xlfn.VAR.S(C:C)</f>
        <v>126696.62279359237</v>
      </c>
      <c r="K22" s="2">
        <f>_xlfn.VAR.S(D:D)</f>
        <v>182443.1368227732</v>
      </c>
      <c r="L22" s="2"/>
    </row>
    <row r="23" spans="1:12" x14ac:dyDescent="0.2">
      <c r="A23" s="1">
        <v>58</v>
      </c>
      <c r="B23" s="2">
        <v>47</v>
      </c>
      <c r="C23" s="2">
        <f t="shared" si="0"/>
        <v>470</v>
      </c>
      <c r="D23" s="1">
        <f t="shared" si="1"/>
        <v>564</v>
      </c>
      <c r="E23" s="1">
        <f t="shared" si="2"/>
        <v>22090</v>
      </c>
      <c r="I23" s="3" t="s">
        <v>19</v>
      </c>
      <c r="J23" s="2">
        <f>_xlfn.STDEV.S(C:C)</f>
        <v>355.94469063829615</v>
      </c>
      <c r="K23" s="2">
        <f>_xlfn.STDEV.S(D:D)</f>
        <v>427.13362876595562</v>
      </c>
      <c r="L23" s="2"/>
    </row>
    <row r="24" spans="1:12" x14ac:dyDescent="0.2">
      <c r="A24" s="1">
        <v>2</v>
      </c>
      <c r="B24" s="2">
        <v>47</v>
      </c>
      <c r="C24" s="2">
        <f t="shared" si="0"/>
        <v>470</v>
      </c>
      <c r="D24" s="1">
        <f t="shared" si="1"/>
        <v>564</v>
      </c>
      <c r="E24" s="1">
        <f t="shared" si="2"/>
        <v>22090</v>
      </c>
      <c r="I24" s="3" t="s">
        <v>20</v>
      </c>
      <c r="J24" s="4">
        <f>J23/J21</f>
        <v>0.46087528607365053</v>
      </c>
      <c r="K24" s="4">
        <f>K23/K21</f>
        <v>0.4608752860736508</v>
      </c>
      <c r="L24" s="4"/>
    </row>
    <row r="25" spans="1:12" x14ac:dyDescent="0.2">
      <c r="A25" s="1">
        <v>26</v>
      </c>
      <c r="B25" s="2">
        <v>49</v>
      </c>
      <c r="C25" s="2">
        <f t="shared" si="0"/>
        <v>490</v>
      </c>
      <c r="D25" s="1">
        <f t="shared" si="1"/>
        <v>588</v>
      </c>
      <c r="E25" s="1">
        <f t="shared" si="2"/>
        <v>24010</v>
      </c>
    </row>
    <row r="26" spans="1:12" x14ac:dyDescent="0.2">
      <c r="A26" s="1">
        <v>29</v>
      </c>
      <c r="B26" s="2">
        <v>49</v>
      </c>
      <c r="C26" s="2">
        <f t="shared" si="0"/>
        <v>490</v>
      </c>
      <c r="D26" s="1">
        <f t="shared" si="1"/>
        <v>588</v>
      </c>
      <c r="E26" s="1">
        <f t="shared" si="2"/>
        <v>24010</v>
      </c>
    </row>
    <row r="27" spans="1:12" x14ac:dyDescent="0.2">
      <c r="A27" s="1">
        <v>1</v>
      </c>
      <c r="B27" s="2">
        <v>53</v>
      </c>
      <c r="C27" s="2">
        <f t="shared" si="0"/>
        <v>530</v>
      </c>
      <c r="D27" s="1">
        <f t="shared" si="1"/>
        <v>636</v>
      </c>
      <c r="E27" s="1">
        <f t="shared" si="2"/>
        <v>28090</v>
      </c>
    </row>
    <row r="28" spans="1:12" x14ac:dyDescent="0.2">
      <c r="A28" s="1">
        <v>30</v>
      </c>
      <c r="B28" s="2">
        <v>54</v>
      </c>
      <c r="C28" s="2">
        <f t="shared" si="0"/>
        <v>540</v>
      </c>
      <c r="D28" s="1">
        <f t="shared" si="1"/>
        <v>648</v>
      </c>
      <c r="E28" s="1">
        <f t="shared" si="2"/>
        <v>29160</v>
      </c>
    </row>
    <row r="29" spans="1:12" x14ac:dyDescent="0.2">
      <c r="A29" s="1">
        <v>91</v>
      </c>
      <c r="B29" s="2">
        <v>54</v>
      </c>
      <c r="C29" s="2">
        <f t="shared" si="0"/>
        <v>540</v>
      </c>
      <c r="D29" s="1">
        <f t="shared" si="1"/>
        <v>648</v>
      </c>
      <c r="E29" s="1">
        <f t="shared" si="2"/>
        <v>29160</v>
      </c>
    </row>
    <row r="30" spans="1:12" x14ac:dyDescent="0.2">
      <c r="A30" s="1">
        <v>53</v>
      </c>
      <c r="B30" s="2">
        <v>55</v>
      </c>
      <c r="C30" s="2">
        <f t="shared" si="0"/>
        <v>550</v>
      </c>
      <c r="D30" s="1">
        <f t="shared" si="1"/>
        <v>660</v>
      </c>
      <c r="E30" s="1">
        <f t="shared" si="2"/>
        <v>30250</v>
      </c>
    </row>
    <row r="31" spans="1:12" x14ac:dyDescent="0.2">
      <c r="A31" s="1">
        <v>95</v>
      </c>
      <c r="B31" s="2">
        <v>55</v>
      </c>
      <c r="C31" s="2">
        <f t="shared" si="0"/>
        <v>550</v>
      </c>
      <c r="D31" s="1">
        <f t="shared" si="1"/>
        <v>660</v>
      </c>
      <c r="E31" s="1">
        <f t="shared" si="2"/>
        <v>30250</v>
      </c>
    </row>
    <row r="32" spans="1:12" x14ac:dyDescent="0.2">
      <c r="A32" s="1">
        <v>81</v>
      </c>
      <c r="B32" s="2">
        <v>56</v>
      </c>
      <c r="C32" s="2">
        <f t="shared" si="0"/>
        <v>560</v>
      </c>
      <c r="D32" s="1">
        <f t="shared" si="1"/>
        <v>672</v>
      </c>
      <c r="E32" s="1">
        <f t="shared" si="2"/>
        <v>31360</v>
      </c>
    </row>
    <row r="33" spans="1:5" x14ac:dyDescent="0.2">
      <c r="A33" s="1">
        <v>28</v>
      </c>
      <c r="B33" s="2">
        <v>57</v>
      </c>
      <c r="C33" s="2">
        <f t="shared" si="0"/>
        <v>570</v>
      </c>
      <c r="D33" s="1">
        <f t="shared" si="1"/>
        <v>684</v>
      </c>
      <c r="E33" s="1">
        <f t="shared" si="2"/>
        <v>32490</v>
      </c>
    </row>
    <row r="34" spans="1:5" x14ac:dyDescent="0.2">
      <c r="A34" s="1">
        <v>18</v>
      </c>
      <c r="B34" s="2">
        <v>58</v>
      </c>
      <c r="C34" s="2">
        <f t="shared" si="0"/>
        <v>580</v>
      </c>
      <c r="D34" s="1">
        <f t="shared" si="1"/>
        <v>696</v>
      </c>
      <c r="E34" s="1">
        <f t="shared" si="2"/>
        <v>33640</v>
      </c>
    </row>
    <row r="35" spans="1:5" x14ac:dyDescent="0.2">
      <c r="A35" s="1">
        <v>41</v>
      </c>
      <c r="B35" s="2">
        <v>59</v>
      </c>
      <c r="C35" s="2">
        <f t="shared" si="0"/>
        <v>590</v>
      </c>
      <c r="D35" s="1">
        <f t="shared" si="1"/>
        <v>708</v>
      </c>
      <c r="E35" s="1">
        <f t="shared" si="2"/>
        <v>34810</v>
      </c>
    </row>
    <row r="36" spans="1:5" x14ac:dyDescent="0.2">
      <c r="A36" s="1">
        <v>19</v>
      </c>
      <c r="B36" s="2">
        <v>59</v>
      </c>
      <c r="C36" s="2">
        <f t="shared" si="0"/>
        <v>590</v>
      </c>
      <c r="D36" s="1">
        <f t="shared" si="1"/>
        <v>708</v>
      </c>
      <c r="E36" s="1">
        <f t="shared" si="2"/>
        <v>34810</v>
      </c>
    </row>
    <row r="37" spans="1:5" x14ac:dyDescent="0.2">
      <c r="A37" s="1">
        <v>16</v>
      </c>
      <c r="B37" s="2">
        <v>59</v>
      </c>
      <c r="C37" s="2">
        <f t="shared" si="0"/>
        <v>590</v>
      </c>
      <c r="D37" s="1">
        <f t="shared" si="1"/>
        <v>708</v>
      </c>
      <c r="E37" s="1">
        <f t="shared" si="2"/>
        <v>34810</v>
      </c>
    </row>
    <row r="38" spans="1:5" x14ac:dyDescent="0.2">
      <c r="A38" s="1">
        <v>31</v>
      </c>
      <c r="B38" s="2">
        <v>61</v>
      </c>
      <c r="C38" s="2">
        <f t="shared" si="0"/>
        <v>610</v>
      </c>
      <c r="D38" s="1">
        <f t="shared" si="1"/>
        <v>732</v>
      </c>
      <c r="E38" s="1">
        <f t="shared" si="2"/>
        <v>37210</v>
      </c>
    </row>
    <row r="39" spans="1:5" x14ac:dyDescent="0.2">
      <c r="A39" s="1">
        <v>4</v>
      </c>
      <c r="B39" s="2">
        <v>62</v>
      </c>
      <c r="C39" s="2">
        <f t="shared" si="0"/>
        <v>620</v>
      </c>
      <c r="D39" s="1">
        <f t="shared" si="1"/>
        <v>744</v>
      </c>
      <c r="E39" s="1">
        <f t="shared" si="2"/>
        <v>38440</v>
      </c>
    </row>
    <row r="40" spans="1:5" x14ac:dyDescent="0.2">
      <c r="A40" s="1">
        <v>69</v>
      </c>
      <c r="B40" s="2">
        <v>62</v>
      </c>
      <c r="C40" s="2">
        <f t="shared" si="0"/>
        <v>620</v>
      </c>
      <c r="D40" s="1">
        <f t="shared" si="1"/>
        <v>744</v>
      </c>
      <c r="E40" s="1">
        <f t="shared" si="2"/>
        <v>38440</v>
      </c>
    </row>
    <row r="41" spans="1:5" x14ac:dyDescent="0.2">
      <c r="A41" s="1">
        <v>33</v>
      </c>
      <c r="B41" s="2">
        <v>62</v>
      </c>
      <c r="C41" s="2">
        <f t="shared" si="0"/>
        <v>620</v>
      </c>
      <c r="D41" s="1">
        <f t="shared" si="1"/>
        <v>744</v>
      </c>
      <c r="E41" s="1">
        <f t="shared" si="2"/>
        <v>38440</v>
      </c>
    </row>
    <row r="42" spans="1:5" x14ac:dyDescent="0.2">
      <c r="A42" s="1">
        <v>85</v>
      </c>
      <c r="B42" s="2">
        <v>62</v>
      </c>
      <c r="C42" s="2">
        <f t="shared" si="0"/>
        <v>620</v>
      </c>
      <c r="D42" s="1">
        <f t="shared" si="1"/>
        <v>744</v>
      </c>
      <c r="E42" s="1">
        <f t="shared" si="2"/>
        <v>38440</v>
      </c>
    </row>
    <row r="43" spans="1:5" x14ac:dyDescent="0.2">
      <c r="A43" s="1">
        <v>50</v>
      </c>
      <c r="B43" s="2">
        <v>64</v>
      </c>
      <c r="C43" s="2">
        <f t="shared" si="0"/>
        <v>640</v>
      </c>
      <c r="D43" s="1">
        <f t="shared" si="1"/>
        <v>768</v>
      </c>
      <c r="E43" s="1">
        <f t="shared" si="2"/>
        <v>40960</v>
      </c>
    </row>
    <row r="44" spans="1:5" x14ac:dyDescent="0.2">
      <c r="A44" s="1">
        <v>34</v>
      </c>
      <c r="B44" s="2">
        <v>66</v>
      </c>
      <c r="C44" s="2">
        <f t="shared" si="0"/>
        <v>660</v>
      </c>
      <c r="D44" s="1">
        <f t="shared" si="1"/>
        <v>792</v>
      </c>
      <c r="E44" s="1">
        <f t="shared" si="2"/>
        <v>43560</v>
      </c>
    </row>
    <row r="45" spans="1:5" x14ac:dyDescent="0.2">
      <c r="A45" s="1">
        <v>60</v>
      </c>
      <c r="B45" s="2">
        <v>67</v>
      </c>
      <c r="C45" s="2">
        <f t="shared" si="0"/>
        <v>670</v>
      </c>
      <c r="D45" s="1">
        <f t="shared" si="1"/>
        <v>804</v>
      </c>
      <c r="E45" s="1">
        <f t="shared" si="2"/>
        <v>44890</v>
      </c>
    </row>
    <row r="46" spans="1:5" x14ac:dyDescent="0.2">
      <c r="A46" s="1">
        <v>72</v>
      </c>
      <c r="B46" s="2">
        <v>69</v>
      </c>
      <c r="C46" s="2">
        <f t="shared" si="0"/>
        <v>690</v>
      </c>
      <c r="D46" s="1">
        <f t="shared" si="1"/>
        <v>828</v>
      </c>
      <c r="E46" s="1">
        <f t="shared" si="2"/>
        <v>47610</v>
      </c>
    </row>
    <row r="47" spans="1:5" x14ac:dyDescent="0.2">
      <c r="A47" s="1">
        <v>27</v>
      </c>
      <c r="B47" s="2">
        <v>70</v>
      </c>
      <c r="C47" s="2">
        <f t="shared" si="0"/>
        <v>700</v>
      </c>
      <c r="D47" s="1">
        <f t="shared" si="1"/>
        <v>840</v>
      </c>
      <c r="E47" s="1">
        <f t="shared" si="2"/>
        <v>49000</v>
      </c>
    </row>
    <row r="48" spans="1:5" x14ac:dyDescent="0.2">
      <c r="A48" s="1">
        <v>23</v>
      </c>
      <c r="B48" s="2">
        <v>72</v>
      </c>
      <c r="C48" s="2">
        <f t="shared" si="0"/>
        <v>720</v>
      </c>
      <c r="D48" s="1">
        <f t="shared" si="1"/>
        <v>864</v>
      </c>
      <c r="E48" s="1">
        <f t="shared" si="2"/>
        <v>51840</v>
      </c>
    </row>
    <row r="49" spans="1:5" x14ac:dyDescent="0.2">
      <c r="A49" s="1">
        <v>74</v>
      </c>
      <c r="B49" s="2">
        <v>73</v>
      </c>
      <c r="C49" s="2">
        <f t="shared" si="0"/>
        <v>730</v>
      </c>
      <c r="D49" s="1">
        <f t="shared" si="1"/>
        <v>876</v>
      </c>
      <c r="E49" s="1">
        <f t="shared" si="2"/>
        <v>53290</v>
      </c>
    </row>
    <row r="50" spans="1:5" x14ac:dyDescent="0.2">
      <c r="A50" s="1">
        <v>43</v>
      </c>
      <c r="B50" s="2">
        <v>74</v>
      </c>
      <c r="C50" s="2">
        <f t="shared" si="0"/>
        <v>740</v>
      </c>
      <c r="D50" s="1">
        <f t="shared" si="1"/>
        <v>888</v>
      </c>
      <c r="E50" s="1">
        <f t="shared" si="2"/>
        <v>54760</v>
      </c>
    </row>
    <row r="51" spans="1:5" x14ac:dyDescent="0.2">
      <c r="A51" s="1">
        <v>61</v>
      </c>
      <c r="B51" s="2">
        <v>76</v>
      </c>
      <c r="C51" s="2">
        <f t="shared" si="0"/>
        <v>760</v>
      </c>
      <c r="D51" s="1">
        <f t="shared" si="1"/>
        <v>912</v>
      </c>
      <c r="E51" s="1">
        <f t="shared" si="2"/>
        <v>57760</v>
      </c>
    </row>
    <row r="52" spans="1:5" x14ac:dyDescent="0.2">
      <c r="A52" s="1">
        <v>15</v>
      </c>
      <c r="B52" s="2">
        <v>76</v>
      </c>
      <c r="C52" s="2">
        <f t="shared" si="0"/>
        <v>760</v>
      </c>
      <c r="D52" s="1">
        <f t="shared" si="1"/>
        <v>912</v>
      </c>
      <c r="E52" s="1">
        <f t="shared" si="2"/>
        <v>57760</v>
      </c>
    </row>
    <row r="53" spans="1:5" x14ac:dyDescent="0.2">
      <c r="A53" s="1">
        <v>84</v>
      </c>
      <c r="B53" s="2">
        <v>77</v>
      </c>
      <c r="C53" s="2">
        <f t="shared" si="0"/>
        <v>770</v>
      </c>
      <c r="D53" s="1">
        <f t="shared" si="1"/>
        <v>924</v>
      </c>
      <c r="E53" s="1">
        <f t="shared" si="2"/>
        <v>59290</v>
      </c>
    </row>
    <row r="54" spans="1:5" x14ac:dyDescent="0.2">
      <c r="A54" s="1">
        <v>80</v>
      </c>
      <c r="B54" s="2">
        <v>77</v>
      </c>
      <c r="C54" s="2">
        <f t="shared" si="0"/>
        <v>770</v>
      </c>
      <c r="D54" s="1">
        <f t="shared" si="1"/>
        <v>924</v>
      </c>
      <c r="E54" s="1">
        <f t="shared" si="2"/>
        <v>59290</v>
      </c>
    </row>
    <row r="55" spans="1:5" x14ac:dyDescent="0.2">
      <c r="A55" s="1">
        <v>79</v>
      </c>
      <c r="B55" s="2">
        <v>77</v>
      </c>
      <c r="C55" s="2">
        <f t="shared" si="0"/>
        <v>770</v>
      </c>
      <c r="D55" s="1">
        <f t="shared" si="1"/>
        <v>924</v>
      </c>
      <c r="E55" s="1">
        <f t="shared" si="2"/>
        <v>59290</v>
      </c>
    </row>
    <row r="56" spans="1:5" x14ac:dyDescent="0.2">
      <c r="A56" s="1">
        <v>42</v>
      </c>
      <c r="B56" s="2">
        <v>79</v>
      </c>
      <c r="C56" s="2">
        <f t="shared" si="0"/>
        <v>790</v>
      </c>
      <c r="D56" s="1">
        <f t="shared" si="1"/>
        <v>948</v>
      </c>
      <c r="E56" s="1">
        <f t="shared" si="2"/>
        <v>62410</v>
      </c>
    </row>
    <row r="57" spans="1:5" x14ac:dyDescent="0.2">
      <c r="A57" s="1">
        <v>46</v>
      </c>
      <c r="B57" s="2">
        <v>80</v>
      </c>
      <c r="C57" s="2">
        <f t="shared" si="0"/>
        <v>800</v>
      </c>
      <c r="D57" s="1">
        <f t="shared" si="1"/>
        <v>960</v>
      </c>
      <c r="E57" s="1">
        <f t="shared" si="2"/>
        <v>64000</v>
      </c>
    </row>
    <row r="58" spans="1:5" x14ac:dyDescent="0.2">
      <c r="A58" s="1">
        <v>32</v>
      </c>
      <c r="B58" s="2">
        <v>80</v>
      </c>
      <c r="C58" s="2">
        <f t="shared" si="0"/>
        <v>800</v>
      </c>
      <c r="D58" s="1">
        <f t="shared" si="1"/>
        <v>960</v>
      </c>
      <c r="E58" s="1">
        <f t="shared" si="2"/>
        <v>64000</v>
      </c>
    </row>
    <row r="59" spans="1:5" x14ac:dyDescent="0.2">
      <c r="A59" s="1">
        <v>49</v>
      </c>
      <c r="B59" s="2">
        <v>83</v>
      </c>
      <c r="C59" s="2">
        <f t="shared" si="0"/>
        <v>830</v>
      </c>
      <c r="D59" s="1">
        <f t="shared" si="1"/>
        <v>996</v>
      </c>
      <c r="E59" s="1">
        <f t="shared" si="2"/>
        <v>68890</v>
      </c>
    </row>
    <row r="60" spans="1:5" x14ac:dyDescent="0.2">
      <c r="A60" s="1">
        <v>38</v>
      </c>
      <c r="B60" s="2">
        <v>83</v>
      </c>
      <c r="C60" s="2">
        <f t="shared" si="0"/>
        <v>830</v>
      </c>
      <c r="D60" s="1">
        <f t="shared" si="1"/>
        <v>996</v>
      </c>
      <c r="E60" s="1">
        <f t="shared" si="2"/>
        <v>68890</v>
      </c>
    </row>
    <row r="61" spans="1:5" x14ac:dyDescent="0.2">
      <c r="A61" s="1">
        <v>66</v>
      </c>
      <c r="B61" s="2">
        <v>83</v>
      </c>
      <c r="C61" s="2">
        <f t="shared" si="0"/>
        <v>830</v>
      </c>
      <c r="D61" s="1">
        <f t="shared" si="1"/>
        <v>996</v>
      </c>
      <c r="E61" s="1">
        <f t="shared" si="2"/>
        <v>68890</v>
      </c>
    </row>
    <row r="62" spans="1:5" x14ac:dyDescent="0.2">
      <c r="A62" s="1">
        <v>76</v>
      </c>
      <c r="B62" s="2">
        <v>85</v>
      </c>
      <c r="C62" s="2">
        <f t="shared" si="0"/>
        <v>850</v>
      </c>
      <c r="D62" s="1">
        <f t="shared" si="1"/>
        <v>1020</v>
      </c>
      <c r="E62" s="1">
        <f t="shared" si="2"/>
        <v>72250</v>
      </c>
    </row>
    <row r="63" spans="1:5" x14ac:dyDescent="0.2">
      <c r="A63" s="1">
        <v>35</v>
      </c>
      <c r="B63" s="2">
        <v>85</v>
      </c>
      <c r="C63" s="2">
        <f t="shared" si="0"/>
        <v>850</v>
      </c>
      <c r="D63" s="1">
        <f t="shared" si="1"/>
        <v>1020</v>
      </c>
      <c r="E63" s="1">
        <f t="shared" si="2"/>
        <v>72250</v>
      </c>
    </row>
    <row r="64" spans="1:5" x14ac:dyDescent="0.2">
      <c r="A64" s="1">
        <v>71</v>
      </c>
      <c r="B64" s="2">
        <v>90</v>
      </c>
      <c r="C64" s="2">
        <f t="shared" si="0"/>
        <v>900</v>
      </c>
      <c r="D64" s="1">
        <f t="shared" si="1"/>
        <v>1080</v>
      </c>
      <c r="E64" s="1">
        <f t="shared" si="2"/>
        <v>81000</v>
      </c>
    </row>
    <row r="65" spans="1:5" x14ac:dyDescent="0.2">
      <c r="A65" s="1">
        <v>78</v>
      </c>
      <c r="B65" s="2">
        <v>90</v>
      </c>
      <c r="C65" s="2">
        <f t="shared" si="0"/>
        <v>900</v>
      </c>
      <c r="D65" s="1">
        <f t="shared" si="1"/>
        <v>1080</v>
      </c>
      <c r="E65" s="1">
        <f t="shared" si="2"/>
        <v>81000</v>
      </c>
    </row>
    <row r="66" spans="1:5" x14ac:dyDescent="0.2">
      <c r="A66" s="1">
        <v>22</v>
      </c>
      <c r="B66" s="2">
        <v>91</v>
      </c>
      <c r="C66" s="2">
        <f t="shared" si="0"/>
        <v>910</v>
      </c>
      <c r="D66" s="1">
        <f t="shared" si="1"/>
        <v>1092</v>
      </c>
      <c r="E66" s="1">
        <f t="shared" si="2"/>
        <v>82810</v>
      </c>
    </row>
    <row r="67" spans="1:5" x14ac:dyDescent="0.2">
      <c r="A67" s="1">
        <v>9</v>
      </c>
      <c r="B67" s="2">
        <v>92</v>
      </c>
      <c r="C67" s="2">
        <f t="shared" ref="C67:C100" si="5">B67*10</f>
        <v>920</v>
      </c>
      <c r="D67" s="1">
        <f t="shared" ref="D67:D100" si="6">C67*1.2</f>
        <v>1104</v>
      </c>
      <c r="E67" s="1">
        <f t="shared" ref="E67:E100" si="7">(B67-B167)*(C67-C167)</f>
        <v>84640</v>
      </c>
    </row>
    <row r="68" spans="1:5" x14ac:dyDescent="0.2">
      <c r="A68" s="1">
        <v>86</v>
      </c>
      <c r="B68" s="2">
        <v>93</v>
      </c>
      <c r="C68" s="2">
        <f t="shared" si="5"/>
        <v>930</v>
      </c>
      <c r="D68" s="1">
        <f t="shared" si="6"/>
        <v>1116</v>
      </c>
      <c r="E68" s="1">
        <f t="shared" si="7"/>
        <v>86490</v>
      </c>
    </row>
    <row r="69" spans="1:5" x14ac:dyDescent="0.2">
      <c r="A69" s="1">
        <v>62</v>
      </c>
      <c r="B69" s="2">
        <v>94</v>
      </c>
      <c r="C69" s="2">
        <f t="shared" si="5"/>
        <v>940</v>
      </c>
      <c r="D69" s="1">
        <f t="shared" si="6"/>
        <v>1128</v>
      </c>
      <c r="E69" s="1">
        <f t="shared" si="7"/>
        <v>88360</v>
      </c>
    </row>
    <row r="70" spans="1:5" x14ac:dyDescent="0.2">
      <c r="A70" s="1">
        <v>14</v>
      </c>
      <c r="B70" s="2">
        <v>94</v>
      </c>
      <c r="C70" s="2">
        <f t="shared" si="5"/>
        <v>940</v>
      </c>
      <c r="D70" s="1">
        <f t="shared" si="6"/>
        <v>1128</v>
      </c>
      <c r="E70" s="1">
        <f t="shared" si="7"/>
        <v>88360</v>
      </c>
    </row>
    <row r="71" spans="1:5" x14ac:dyDescent="0.2">
      <c r="A71" s="1">
        <v>51</v>
      </c>
      <c r="B71" s="2">
        <v>95</v>
      </c>
      <c r="C71" s="2">
        <f t="shared" si="5"/>
        <v>950</v>
      </c>
      <c r="D71" s="1">
        <f t="shared" si="6"/>
        <v>1140</v>
      </c>
      <c r="E71" s="1">
        <f t="shared" si="7"/>
        <v>90250</v>
      </c>
    </row>
    <row r="72" spans="1:5" x14ac:dyDescent="0.2">
      <c r="A72" s="1">
        <v>24</v>
      </c>
      <c r="B72" s="2">
        <v>96</v>
      </c>
      <c r="C72" s="2">
        <f t="shared" si="5"/>
        <v>960</v>
      </c>
      <c r="D72" s="1">
        <f t="shared" si="6"/>
        <v>1152</v>
      </c>
      <c r="E72" s="1">
        <f t="shared" si="7"/>
        <v>92160</v>
      </c>
    </row>
    <row r="73" spans="1:5" x14ac:dyDescent="0.2">
      <c r="A73" s="1">
        <v>64</v>
      </c>
      <c r="B73" s="2">
        <v>96</v>
      </c>
      <c r="C73" s="2">
        <f t="shared" si="5"/>
        <v>960</v>
      </c>
      <c r="D73" s="1">
        <f t="shared" si="6"/>
        <v>1152</v>
      </c>
      <c r="E73" s="1">
        <f t="shared" si="7"/>
        <v>92160</v>
      </c>
    </row>
    <row r="74" spans="1:5" x14ac:dyDescent="0.2">
      <c r="A74" s="1">
        <v>59</v>
      </c>
      <c r="B74" s="2">
        <v>96</v>
      </c>
      <c r="C74" s="2">
        <f t="shared" si="5"/>
        <v>960</v>
      </c>
      <c r="D74" s="1">
        <f t="shared" si="6"/>
        <v>1152</v>
      </c>
      <c r="E74" s="1">
        <f t="shared" si="7"/>
        <v>92160</v>
      </c>
    </row>
    <row r="75" spans="1:5" x14ac:dyDescent="0.2">
      <c r="A75" s="1">
        <v>48</v>
      </c>
      <c r="B75" s="2">
        <v>96</v>
      </c>
      <c r="C75" s="2">
        <f t="shared" si="5"/>
        <v>960</v>
      </c>
      <c r="D75" s="1">
        <f t="shared" si="6"/>
        <v>1152</v>
      </c>
      <c r="E75" s="1">
        <f t="shared" si="7"/>
        <v>92160</v>
      </c>
    </row>
    <row r="76" spans="1:5" x14ac:dyDescent="0.2">
      <c r="A76" s="1">
        <v>94</v>
      </c>
      <c r="B76" s="2">
        <v>96</v>
      </c>
      <c r="C76" s="2">
        <f t="shared" si="5"/>
        <v>960</v>
      </c>
      <c r="D76" s="1">
        <f t="shared" si="6"/>
        <v>1152</v>
      </c>
      <c r="E76" s="1">
        <f t="shared" si="7"/>
        <v>92160</v>
      </c>
    </row>
    <row r="77" spans="1:5" x14ac:dyDescent="0.2">
      <c r="A77" s="1">
        <v>45</v>
      </c>
      <c r="B77" s="2">
        <v>98</v>
      </c>
      <c r="C77" s="2">
        <f t="shared" si="5"/>
        <v>980</v>
      </c>
      <c r="D77" s="1">
        <f t="shared" si="6"/>
        <v>1176</v>
      </c>
      <c r="E77" s="1">
        <f t="shared" si="7"/>
        <v>96040</v>
      </c>
    </row>
    <row r="78" spans="1:5" x14ac:dyDescent="0.2">
      <c r="A78" s="1">
        <v>20</v>
      </c>
      <c r="B78" s="2">
        <v>99</v>
      </c>
      <c r="C78" s="2">
        <f t="shared" si="5"/>
        <v>990</v>
      </c>
      <c r="D78" s="1">
        <f t="shared" si="6"/>
        <v>1188</v>
      </c>
      <c r="E78" s="1">
        <f t="shared" si="7"/>
        <v>98010</v>
      </c>
    </row>
    <row r="79" spans="1:5" x14ac:dyDescent="0.2">
      <c r="A79" s="1">
        <v>100</v>
      </c>
      <c r="B79" s="2">
        <v>99</v>
      </c>
      <c r="C79" s="2">
        <f t="shared" si="5"/>
        <v>990</v>
      </c>
      <c r="D79" s="1">
        <f t="shared" si="6"/>
        <v>1188</v>
      </c>
      <c r="E79" s="1">
        <f t="shared" si="7"/>
        <v>98010</v>
      </c>
    </row>
    <row r="80" spans="1:5" x14ac:dyDescent="0.2">
      <c r="A80" s="1">
        <v>40</v>
      </c>
      <c r="B80" s="2">
        <v>99</v>
      </c>
      <c r="C80" s="2">
        <f t="shared" si="5"/>
        <v>990</v>
      </c>
      <c r="D80" s="1">
        <f t="shared" si="6"/>
        <v>1188</v>
      </c>
      <c r="E80" s="1">
        <f t="shared" si="7"/>
        <v>98010</v>
      </c>
    </row>
    <row r="81" spans="1:5" x14ac:dyDescent="0.2">
      <c r="A81" s="1">
        <v>5</v>
      </c>
      <c r="B81" s="2">
        <v>101</v>
      </c>
      <c r="C81" s="2">
        <f t="shared" si="5"/>
        <v>1010</v>
      </c>
      <c r="D81" s="1">
        <f t="shared" si="6"/>
        <v>1212</v>
      </c>
      <c r="E81" s="1">
        <f t="shared" si="7"/>
        <v>102010</v>
      </c>
    </row>
    <row r="82" spans="1:5" x14ac:dyDescent="0.2">
      <c r="A82" s="1">
        <v>93</v>
      </c>
      <c r="B82" s="2">
        <v>102</v>
      </c>
      <c r="C82" s="2">
        <f t="shared" si="5"/>
        <v>1020</v>
      </c>
      <c r="D82" s="1">
        <f t="shared" si="6"/>
        <v>1224</v>
      </c>
      <c r="E82" s="1">
        <f t="shared" si="7"/>
        <v>104040</v>
      </c>
    </row>
    <row r="83" spans="1:5" x14ac:dyDescent="0.2">
      <c r="A83" s="1">
        <v>11</v>
      </c>
      <c r="B83" s="2">
        <v>102</v>
      </c>
      <c r="C83" s="2">
        <f t="shared" si="5"/>
        <v>1020</v>
      </c>
      <c r="D83" s="1">
        <f t="shared" si="6"/>
        <v>1224</v>
      </c>
      <c r="E83" s="1">
        <f t="shared" si="7"/>
        <v>104040</v>
      </c>
    </row>
    <row r="84" spans="1:5" x14ac:dyDescent="0.2">
      <c r="A84" s="1">
        <v>39</v>
      </c>
      <c r="B84" s="2">
        <v>104</v>
      </c>
      <c r="C84" s="2">
        <f t="shared" si="5"/>
        <v>1040</v>
      </c>
      <c r="D84" s="1">
        <f t="shared" si="6"/>
        <v>1248</v>
      </c>
      <c r="E84" s="1">
        <f t="shared" si="7"/>
        <v>108160</v>
      </c>
    </row>
    <row r="85" spans="1:5" x14ac:dyDescent="0.2">
      <c r="A85" s="1">
        <v>44</v>
      </c>
      <c r="B85" s="2">
        <v>107</v>
      </c>
      <c r="C85" s="2">
        <f t="shared" si="5"/>
        <v>1070</v>
      </c>
      <c r="D85" s="1">
        <f t="shared" si="6"/>
        <v>1284</v>
      </c>
      <c r="E85" s="1">
        <f t="shared" si="7"/>
        <v>114490</v>
      </c>
    </row>
    <row r="86" spans="1:5" x14ac:dyDescent="0.2">
      <c r="A86" s="1">
        <v>90</v>
      </c>
      <c r="B86" s="2">
        <v>111</v>
      </c>
      <c r="C86" s="2">
        <f t="shared" si="5"/>
        <v>1110</v>
      </c>
      <c r="D86" s="1">
        <f t="shared" si="6"/>
        <v>1332</v>
      </c>
      <c r="E86" s="1">
        <f t="shared" si="7"/>
        <v>123210</v>
      </c>
    </row>
    <row r="87" spans="1:5" x14ac:dyDescent="0.2">
      <c r="A87" s="1">
        <v>68</v>
      </c>
      <c r="B87" s="2">
        <v>112</v>
      </c>
      <c r="C87" s="2">
        <f t="shared" si="5"/>
        <v>1120</v>
      </c>
      <c r="D87" s="1">
        <f t="shared" si="6"/>
        <v>1344</v>
      </c>
      <c r="E87" s="1">
        <f t="shared" si="7"/>
        <v>125440</v>
      </c>
    </row>
    <row r="88" spans="1:5" x14ac:dyDescent="0.2">
      <c r="A88" s="1">
        <v>65</v>
      </c>
      <c r="B88" s="2">
        <v>122</v>
      </c>
      <c r="C88" s="2">
        <f t="shared" si="5"/>
        <v>1220</v>
      </c>
      <c r="D88" s="1">
        <f t="shared" si="6"/>
        <v>1464</v>
      </c>
      <c r="E88" s="1">
        <f t="shared" si="7"/>
        <v>148840</v>
      </c>
    </row>
    <row r="89" spans="1:5" x14ac:dyDescent="0.2">
      <c r="A89" s="1">
        <v>52</v>
      </c>
      <c r="B89" s="2">
        <v>122</v>
      </c>
      <c r="C89" s="2">
        <f t="shared" si="5"/>
        <v>1220</v>
      </c>
      <c r="D89" s="1">
        <f t="shared" si="6"/>
        <v>1464</v>
      </c>
      <c r="E89" s="1">
        <f t="shared" si="7"/>
        <v>148840</v>
      </c>
    </row>
    <row r="90" spans="1:5" x14ac:dyDescent="0.2">
      <c r="A90" s="1">
        <v>3</v>
      </c>
      <c r="B90" s="2">
        <v>124</v>
      </c>
      <c r="C90" s="2">
        <f t="shared" si="5"/>
        <v>1240</v>
      </c>
      <c r="D90" s="1">
        <f t="shared" si="6"/>
        <v>1488</v>
      </c>
      <c r="E90" s="1">
        <f t="shared" si="7"/>
        <v>153760</v>
      </c>
    </row>
    <row r="91" spans="1:5" x14ac:dyDescent="0.2">
      <c r="A91" s="1">
        <v>98</v>
      </c>
      <c r="B91" s="2">
        <v>127</v>
      </c>
      <c r="C91" s="2">
        <f t="shared" si="5"/>
        <v>1270</v>
      </c>
      <c r="D91" s="1">
        <f t="shared" si="6"/>
        <v>1524</v>
      </c>
      <c r="E91" s="1">
        <f t="shared" si="7"/>
        <v>161290</v>
      </c>
    </row>
    <row r="92" spans="1:5" x14ac:dyDescent="0.2">
      <c r="A92" s="1">
        <v>67</v>
      </c>
      <c r="B92" s="2">
        <v>127</v>
      </c>
      <c r="C92" s="2">
        <f t="shared" si="5"/>
        <v>1270</v>
      </c>
      <c r="D92" s="1">
        <f t="shared" si="6"/>
        <v>1524</v>
      </c>
      <c r="E92" s="1">
        <f t="shared" si="7"/>
        <v>161290</v>
      </c>
    </row>
    <row r="93" spans="1:5" x14ac:dyDescent="0.2">
      <c r="A93" s="1">
        <v>47</v>
      </c>
      <c r="B93" s="2">
        <v>129</v>
      </c>
      <c r="C93" s="2">
        <f t="shared" si="5"/>
        <v>1290</v>
      </c>
      <c r="D93" s="1">
        <f t="shared" si="6"/>
        <v>1548</v>
      </c>
      <c r="E93" s="1">
        <f t="shared" si="7"/>
        <v>166410</v>
      </c>
    </row>
    <row r="94" spans="1:5" x14ac:dyDescent="0.2">
      <c r="A94" s="1">
        <v>55</v>
      </c>
      <c r="B94" s="2">
        <v>132</v>
      </c>
      <c r="C94" s="2">
        <f t="shared" si="5"/>
        <v>1320</v>
      </c>
      <c r="D94" s="1">
        <f t="shared" si="6"/>
        <v>1584</v>
      </c>
      <c r="E94" s="1">
        <f t="shared" si="7"/>
        <v>174240</v>
      </c>
    </row>
    <row r="95" spans="1:5" x14ac:dyDescent="0.2">
      <c r="A95" s="1">
        <v>87</v>
      </c>
      <c r="B95" s="2">
        <v>137</v>
      </c>
      <c r="C95" s="2">
        <f t="shared" si="5"/>
        <v>1370</v>
      </c>
      <c r="D95" s="1">
        <f t="shared" si="6"/>
        <v>1644</v>
      </c>
      <c r="E95" s="1">
        <f t="shared" si="7"/>
        <v>187690</v>
      </c>
    </row>
    <row r="96" spans="1:5" x14ac:dyDescent="0.2">
      <c r="A96" s="1">
        <v>63</v>
      </c>
      <c r="B96" s="2">
        <v>154</v>
      </c>
      <c r="C96" s="2">
        <f t="shared" si="5"/>
        <v>1540</v>
      </c>
      <c r="D96" s="1">
        <f t="shared" si="6"/>
        <v>1848</v>
      </c>
      <c r="E96" s="1">
        <f t="shared" si="7"/>
        <v>237160</v>
      </c>
    </row>
    <row r="97" spans="1:5" x14ac:dyDescent="0.2">
      <c r="A97" s="1">
        <v>25</v>
      </c>
      <c r="B97" s="2">
        <v>158</v>
      </c>
      <c r="C97" s="2">
        <f t="shared" si="5"/>
        <v>1580</v>
      </c>
      <c r="D97" s="1">
        <f t="shared" si="6"/>
        <v>1896</v>
      </c>
      <c r="E97" s="1">
        <f t="shared" si="7"/>
        <v>249640</v>
      </c>
    </row>
    <row r="98" spans="1:5" x14ac:dyDescent="0.2">
      <c r="A98" s="1">
        <v>10</v>
      </c>
      <c r="B98" s="2">
        <v>165</v>
      </c>
      <c r="C98" s="2">
        <f t="shared" si="5"/>
        <v>1650</v>
      </c>
      <c r="D98" s="1">
        <f t="shared" si="6"/>
        <v>1980</v>
      </c>
      <c r="E98" s="1">
        <f t="shared" si="7"/>
        <v>272250</v>
      </c>
    </row>
    <row r="99" spans="1:5" x14ac:dyDescent="0.2">
      <c r="A99" s="1">
        <v>77</v>
      </c>
      <c r="B99" s="2">
        <v>168</v>
      </c>
      <c r="C99" s="2">
        <f t="shared" si="5"/>
        <v>1680</v>
      </c>
      <c r="D99" s="1">
        <f t="shared" si="6"/>
        <v>2016</v>
      </c>
      <c r="E99" s="1">
        <f t="shared" si="7"/>
        <v>282240</v>
      </c>
    </row>
    <row r="100" spans="1:5" x14ac:dyDescent="0.2">
      <c r="A100" s="1">
        <v>36</v>
      </c>
      <c r="B100" s="2">
        <v>198</v>
      </c>
      <c r="C100" s="2">
        <f t="shared" si="5"/>
        <v>1980</v>
      </c>
      <c r="D100" s="1">
        <f t="shared" si="6"/>
        <v>2376</v>
      </c>
      <c r="E100" s="1">
        <f t="shared" si="7"/>
        <v>392040</v>
      </c>
    </row>
    <row r="101" spans="1:5" x14ac:dyDescent="0.2">
      <c r="B101" s="2"/>
      <c r="C101" s="2"/>
    </row>
    <row r="102" spans="1:5" x14ac:dyDescent="0.2">
      <c r="A102" s="1" t="s">
        <v>3</v>
      </c>
      <c r="B102" s="7">
        <f>AVERAGE(B2:B100)</f>
        <v>77.232323232323239</v>
      </c>
      <c r="C102" s="7">
        <f>AVERAGE(C2:C100)</f>
        <v>772.32323232323233</v>
      </c>
      <c r="D102" s="7">
        <f>AVERAGE(D2:D100)</f>
        <v>926.78787878787875</v>
      </c>
      <c r="E102" s="2">
        <f>SUM(E2:E100)</f>
        <v>7199047.9134782162</v>
      </c>
    </row>
    <row r="103" spans="1:5" x14ac:dyDescent="0.2">
      <c r="A103" s="1" t="s">
        <v>24</v>
      </c>
      <c r="E103" s="1">
        <v>99</v>
      </c>
    </row>
    <row r="104" spans="1:5" x14ac:dyDescent="0.2">
      <c r="D104" s="1" t="s">
        <v>23</v>
      </c>
      <c r="E104" s="2">
        <f>E102/E103-1</f>
        <v>72716.655691699154</v>
      </c>
    </row>
  </sheetData>
  <mergeCells count="3">
    <mergeCell ref="N2:Q2"/>
    <mergeCell ref="I19:K19"/>
    <mergeCell ref="I2:J2"/>
  </mergeCells>
  <phoneticPr fontId="1" type="noConversion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of central tendancy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Graeme Boulton</cp:lastModifiedBy>
  <dcterms:created xsi:type="dcterms:W3CDTF">2025-11-24T12:28:52Z</dcterms:created>
  <dcterms:modified xsi:type="dcterms:W3CDTF">2025-11-25T11:17:53Z</dcterms:modified>
</cp:coreProperties>
</file>